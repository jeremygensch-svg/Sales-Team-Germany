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emakit-my.sharepoint.com/personal/jeremygensch_demakgroup_com/Documents/Desktop/Listen für Manuel/"/>
    </mc:Choice>
  </mc:AlternateContent>
  <xr:revisionPtr revIDLastSave="0" documentId="11_3847CDDB8A70CA44A105AFB9E350B2693E07DD7A" xr6:coauthVersionLast="47" xr6:coauthVersionMax="47" xr10:uidLastSave="{00000000-0000-0000-0000-000000000000}"/>
  <bookViews>
    <workbookView xWindow="-120" yWindow="-120" windowWidth="29040" windowHeight="15720" activeTab="5" xr2:uid="{00000000-000D-0000-FFFF-FFFF00000000}"/>
  </bookViews>
  <sheets>
    <sheet name="Übersicht" sheetId="1" r:id="rId1"/>
    <sheet name="Ergebnisliste" sheetId="2" r:id="rId2"/>
    <sheet name="BW" sheetId="3" r:id="rId3"/>
    <sheet name="Bayern" sheetId="4" r:id="rId4"/>
    <sheet name="Österreich" sheetId="5" r:id="rId5"/>
    <sheet name="Rest DE + NL" sheetId="6" r:id="rId6"/>
    <sheet name="Ausland" sheetId="7" r:id="rId7"/>
  </sheets>
  <definedNames>
    <definedName name="_xlnm._FilterDatabase" localSheetId="6" hidden="1">Ausland!$A$4:$O$6</definedName>
    <definedName name="_xlnm._FilterDatabase" localSheetId="3" hidden="1">Bayern!$A$4:$O$49</definedName>
    <definedName name="_xlnm._FilterDatabase" localSheetId="2" hidden="1">BW!$A$4:$O$36</definedName>
    <definedName name="_xlnm._FilterDatabase" localSheetId="1" hidden="1">Ergebnisliste!$A$4:$O$198</definedName>
    <definedName name="_xlnm._FilterDatabase" localSheetId="4" hidden="1">Österreich!$A$4:$O$38</definedName>
    <definedName name="_xlnm._FilterDatabase" localSheetId="5" hidden="1">'Rest DE + NL'!$A$4:$O$85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F14" i="1"/>
  <c r="F13" i="1"/>
  <c r="F12" i="1"/>
  <c r="F11" i="1"/>
  <c r="C7" i="1"/>
  <c r="C6" i="1"/>
  <c r="C5" i="1"/>
  <c r="C8" i="1" s="1"/>
  <c r="D6" i="1" l="1"/>
  <c r="D7" i="1"/>
  <c r="D5" i="1"/>
  <c r="D8" i="1" s="1"/>
</calcChain>
</file>

<file path=xl/sharedStrings.xml><?xml version="1.0" encoding="utf-8"?>
<sst xmlns="http://schemas.openxmlformats.org/spreadsheetml/2006/main" count="5259" uniqueCount="1253">
  <si>
    <t>Drohnen &amp; Humanoide – Ergebnisübersicht</t>
  </si>
  <si>
    <t>Deutschland, Österreich und Niederlande, aufgeteilt in Vertriebsgebiete (BW, Bayern, Österreich, Rest DE + NL)  |  Stand 08.10.2026  |  Auftrag: Jey</t>
  </si>
  <si>
    <t>Ampel</t>
  </si>
  <si>
    <t>Anzahl</t>
  </si>
  <si>
    <t>Anteil</t>
  </si>
  <si>
    <t>Bedeutung</t>
  </si>
  <si>
    <t>GRÜN</t>
  </si>
  <si>
    <t>Website-geprüft: P ≥ 75 %, Fertigung im Land und Produkt belegt: priorisiert ansprechen</t>
  </si>
  <si>
    <t>GELB</t>
  </si>
  <si>
    <t>Website-geprüft, aber P 40–74 % oder Fertigung/Vergussprozess nicht belegt: Anruf, am Stand fragen</t>
  </si>
  <si>
    <t>ROT</t>
  </si>
  <si>
    <t>Im CRM, kein Zielkunde (Wettbewerber, Ausland, keine Fertigung, nicht auffindbar) oder P &lt; 40 %</t>
  </si>
  <si>
    <t>Gesamt</t>
  </si>
  <si>
    <t>Gebiet</t>
  </si>
  <si>
    <t>Baden-Württemberg</t>
  </si>
  <si>
    <t>Bayern</t>
  </si>
  <si>
    <t>Österreich</t>
  </si>
  <si>
    <t>Rest Deutschland + Niederlande*</t>
  </si>
  <si>
    <t>Ausland / ohne DE-AT-NL-Bezug</t>
  </si>
  <si>
    <t>* inkl. Firmen, deren Sitz noch nicht verifiziert ist</t>
  </si>
  <si>
    <t>Priorität GRÜN und stärkstes GELB</t>
  </si>
  <si>
    <t>Firma</t>
  </si>
  <si>
    <t>P (Verguss)</t>
  </si>
  <si>
    <t>Nächster Schritt</t>
  </si>
  <si>
    <t>Dipotec</t>
  </si>
  <si>
    <t>Als Lohnvergießer ansprechen (Bedarf an zusätzlicher/neuer Dosier- und Vergusstechnik).</t>
  </si>
  <si>
    <t>W&amp;G Vergusstechnik (wundg.de)</t>
  </si>
  <si>
    <t>Rest Deutschland</t>
  </si>
  <si>
    <t>Kontakt mit Fokus auf Dosier-/Mischtechnik für PU/Epoxid/Silikon und Vakuumverguss.</t>
  </si>
  <si>
    <t>EGSTON System Electronics Eggenburg GmbH (YAGEO)</t>
  </si>
  <si>
    <t>Im Erstkontakt gezielt nach Vergussverfahren und Standort der Vergussfertigung (Eggenburg) fragen.</t>
  </si>
  <si>
    <t>Reijnen Sealing (TTS Group B.V.)</t>
  </si>
  <si>
    <t>Rest Deutschland + Niederlande</t>
  </si>
  <si>
    <t>Per Anruf klären, welche Dosier-/Mischanlagen eingesetzt werden und ob Investitionsbedarf besteht (Peize vs. Köln).</t>
  </si>
  <si>
    <t>KUK-Wijdeven B.V.</t>
  </si>
  <si>
    <t>Ter-Apel-Standort und Vergussprozess per Anfrage bestätigen, Konzernzuordnung (KUK Group) klären.</t>
  </si>
  <si>
    <t>MBDA Deutschland</t>
  </si>
  <si>
    <t>Ansprechpartner Fertigung/Elektronik in Schrobenhausen ermitteln und Vergussbedarf (Elektronik-/Zünderbaugruppen) im Erstkontakt erfragen.</t>
  </si>
  <si>
    <t>Erb GmbH Messtechnik &amp; Co. KG</t>
  </si>
  <si>
    <t>Rest Deutschland (Sitz unklar)</t>
  </si>
  <si>
    <t>Handelsregister/Northdata für exakten Sitz und Website prüfen, dann Vergussbedarf erfragen.</t>
  </si>
  <si>
    <t>HBK (Hottinger Brüel &amp; Kjaer)</t>
  </si>
  <si>
    <t>Fertigung/Sensorentwicklung Darmstadt ansprechen und nach Abdeck-/Vergussprozess der Aufnehmer fragen.</t>
  </si>
  <si>
    <t>Tytan Technologies</t>
  </si>
  <si>
    <t>Serienstart und Verguss-/Beschichtungsprozess im Erstkontakt erfragen; Aussagen zu 3.000 Drohnen/Monat nicht verwenden.</t>
  </si>
  <si>
    <t>AirRobot GmbH</t>
  </si>
  <si>
    <t>Kleinserienfertigung (ca. 15 Mitarbeiter in Produktion) und Elektronik-Verguss im Erstkontakt erfragen; Konzernzuordnung Quantum Systems prüfen.</t>
  </si>
  <si>
    <t>Argus Interception GmbH</t>
  </si>
  <si>
    <t>Im Kontakt Fertigungsstandort und Stand der Serienüberführung sowie Vergussbedarf erfragen.</t>
  </si>
  <si>
    <t>Avilus GmbH</t>
  </si>
  <si>
    <t>Website später erneut prüfen (Impressum/Fertigung) und Handelsregister-Sitz bestätigen.</t>
  </si>
  <si>
    <t>DeltaQuad B.V.</t>
  </si>
  <si>
    <t>Beim Kontakt abfragen, ob Elektronik/Antriebe selbst oder beim Partner vergossen werden.</t>
  </si>
  <si>
    <t>Auterion Airlogix JV GmbH (Auterion-Beteiligung)</t>
  </si>
  <si>
    <t>Handelsregister/Northdata für Sitz prüfen und klären, welche Baugruppen in der JV-Fertigung selbst entstehen.</t>
  </si>
  <si>
    <t>Destinus (NL, ex-Aerialtronics)</t>
  </si>
  <si>
    <t>Rechtseinheit (NL-Gesellschaft vs. Schweizer Holding) vor Kontakt klären und Vergussbedarf erfragen.</t>
  </si>
  <si>
    <t>SENSODRIVE GmbH</t>
  </si>
  <si>
    <t>Ansprechpartner Entwicklung/Fertigung ansprechen und Vergussbedarf der Sensor-/Antriebsmodule erfragen.</t>
  </si>
  <si>
    <t>BARTEC</t>
  </si>
  <si>
    <t>Im Kontakt Vergussbedarf und Standort der Ex-Elektronikfertigung erfragen.</t>
  </si>
  <si>
    <t>DSW Elektronik</t>
  </si>
  <si>
    <t>Telefonisch klären, ob DSW Spulen selbst vergießt/imprägniert und in welchen Stückzahlen.</t>
  </si>
  <si>
    <t>Donaustahl GmbH</t>
  </si>
  <si>
    <t>Produktionsstandort und Elektronikfertigung (Combat Stack) vor Kontakt klären.</t>
  </si>
  <si>
    <t>Kriterium und Grenzen</t>
  </si>
  <si>
    <t>•  Interessant ist ein Unternehmen, bei dem ein Vergussprozess für eigene Bauteile plausibel ist (selbst oder extern vergossen). Ableitung aus dem Produkttyp zählt; nur zugekaufte Standard-Vergussteile zählen nicht. Ziel: Kunde vergießt selbst (Demak-Anlagen).</t>
  </si>
  <si>
    <t>•  Prüfung 08.10.2026: Alle 55 zuvor grünen und gelben Firmen hat Tom direkt auf den Firmenwebsites recherchiert (Impressum, Standorte, Produkte, Datenblätter, Karriereseiten) und Tina unabhängig nachgeprüft. Spalte "Fertigung (Beleg)" nennt den Fertigungsort und die Quelle; "Nicht belegt" heißt, weder Website noch Presse nennen den Ort.</t>
  </si>
  <si>
    <t>•  Rot-Firmen (CRM, Randfälle, P &lt; 40 %) aus dem ersten Lauf wurden nicht erneut geprüft.</t>
  </si>
  <si>
    <t>•  Ein Vergussprozess steht nur bei Lohnvergießern und Wickelgut-Herstellern ausdrücklich auf der Website. Bei Drohnen- und Robotikherstellern ist er aus dem Produkttyp abgeleitet; das muss im Gespräch bestätigt werden.</t>
  </si>
  <si>
    <t>•  CRM-Abgleich gegen den CRM-Export vom 10.09.2026 (Normalisierung nach Tinas Regel). Bei Konzernen (z. B. Bosch, Airbus, Diehl) gilt der Konzern-Eintrag als Treffer: Zuständigkeit vor Kontakt klären.</t>
  </si>
  <si>
    <t>•  Die Liste ist nicht vollständig: weitere Zulieferer (Wicklungsimprägnierung, Ex-Schutz, Hochspannung, Lohnverguss) wurden nur teilweise gefunden.</t>
  </si>
  <si>
    <t>Drohnen &amp; Humanoide – Bewertung für Demak</t>
  </si>
  <si>
    <t>Drohnen und Humanoide Robotik, Deutschland, Österreich, Niederlande  |  Stand 08.10.2026  |  Kriterium: Vergussprozess für eigene Bauteile plausibel (selbst oder extern), Ableitung aus Produkttyp</t>
  </si>
  <si>
    <t>Nr.</t>
  </si>
  <si>
    <t>Typ</t>
  </si>
  <si>
    <t>Land</t>
  </si>
  <si>
    <t>Sitz</t>
  </si>
  <si>
    <t>Prüfung</t>
  </si>
  <si>
    <t>Produkt</t>
  </si>
  <si>
    <t>Fertigung (Beleg)</t>
  </si>
  <si>
    <t>Begründung der Einstufung</t>
  </si>
  <si>
    <t>CRM-Abgleich</t>
  </si>
  <si>
    <t>Quellen</t>
  </si>
  <si>
    <t>Lohnverguss-Anbieter</t>
  </si>
  <si>
    <t>Deutschland</t>
  </si>
  <si>
    <t>Neustadt a.d. Donau (Dipotec GmbH, Gewerbepark 23, 93333)</t>
  </si>
  <si>
    <t>Tom + Tina, Firmenwebsite geprüft (08.10.2026)</t>
  </si>
  <si>
    <t>Lohnverguss, Dosiertechnik, Vergussmaterial</t>
  </si>
  <si>
    <t>Belegt: Neustadt a.d. Donau, DE
dipotec.com/de: Produktionshalle 'mit Dosier- und Vergussequipment für den Lohnverguss'; Impressum: Dipotec GmbH, Gewerbepark 23, 93333 Neustadt/Donau, HRB 17177 Regensburg (einzige genannte Adresse; Produktionsort auf der Seite nicht ausdrücklich beschriftet).</t>
  </si>
  <si>
    <t>Lohnvergießer (kein Anlagenhersteller, daher kein Wettbewerber) mit belegtem Vergussprozess und einziger Firmenadresse in Bayern. Korrektur an Tom: Firma existiert und ist auffindbar; es gibt keinen Drohnen-/Humanoidenbezug, die Eignung ergibt sich aus dem Lohnverguss. Nutzt bereits Scheugenpflug-Technik (Atlas Copco), Wettbewerbssituation im Gespräch beachten.
Verguss: Belegt: Lohnverguss ist Kernangebot (Epoxid, PU, Silikon; Leiterplatten, Sensoren, Steuergeräte, Wickelgüter/Trafos, LED) mit Scheugenpflug-Dosiertechnik.</t>
  </si>
  <si>
    <t>kein CRM-Treffer</t>
  </si>
  <si>
    <t>https://www.dipotec.com/de/
https://www.dipotec.com/de/impressum/</t>
  </si>
  <si>
    <t>Dorndorf, 36460 Krayenberggemeinde (Hersfelder Str. 20)</t>
  </si>
  <si>
    <t>Vergusstechnik für Elektronik</t>
  </si>
  <si>
    <t>Belegt: Dorndorf (Thüringen)
wundg.de/impressum: W &amp; G Elektro-Bauelemente GmbH Dorndorf, Hersfelder Straße 20, 36460 Krayenberggemeinde OT Dorndorf, Amtsgericht Suhl HRB 1535; wundg.de/vergusstechnik: eigener Werkzeugbau, Prozessparameter, Vakuum, Prototypen in wenigen Tagen, Kleinserie bis Serie (Produktion am Standort Dorndorf, nicht ausdrücklich als Werk bezeichnet).</t>
  </si>
  <si>
    <t>Lohnvergießer mit belegtem Vergussprozess und Sitz/Fertigung in Thüringen (Impressum, Handelsregister Suhl). Korrektur an Tom: Bundesland Thüringen und Firmierung (W &amp; G Elektro-Bauelemente GmbH Dorndorf) bestätigt; kein Drohnenbezug nötig, Branchen: Mess-/Regeltechnik, Sensorik, Elektrotechnik, Fahrzeugbau.
Verguss: Belegt: Lohnvergießer (Schutz-, Voll- und Teilverguss von Sensoren, Baugruppen; PU, Epoxid, Silikon; auch wärmeleitend/flammhemmend; Kombination mit Spritzguss; über 100 Vergussprojekte).</t>
  </si>
  <si>
    <t>https://wundg.de/vergusstechnik/
https://wundg.de/impressum/</t>
  </si>
  <si>
    <t>AT</t>
  </si>
  <si>
    <t>Eggenburg (Grafenbergerstraße 37, 3730 Eggenburg)</t>
  </si>
  <si>
    <t>Induktive Bauteile, Trafos, Drosseln, Stromsensor-Spulen mit Verguss; Vakuumimpraegnierung, Vakuumverguss</t>
  </si>
  <si>
    <t>Belegt: Eggenburg (AT); weitere Werke CZ, CN, IN
Werk Eggenburg seit 1963 als Produktionswerk (Austria-Forum, Verzeichniseintrag 'HQ Eggenburg, induktive Bauteile'); Adresse laut WKO-Firmenverzeichnis. Kein Beleg direkt auf Firmenwebsite abrufbar (egston.com/yageogroup.com liefern nur Titel), daher Drittquellen.</t>
  </si>
  <si>
    <t>Sitz und Fertigung in Eggenburg (AT) sowie Produktbezug (eigene induktive Bauteile) sind belegt; Verguss/Imprägnierung ist aus dem Produkttyp und der genannten Vakuumverguss-Leistung gut ableitbar. Korrektur an Tom: Bei P=0,8 und belegter Fertigung/Produkt ist die Ampel nach Regel GRÜN, nicht GELB; die Verguss-Quelle von 2016 ist alt und das Werk der Ausführung nicht belegt. Kein Drohnen-/Humanoidbezug, Fit über Electrical Insulation/Potting.
Verguss: Plausibel bis teilweise belegt: Egston fertigt eigene kundenspezifische Magnetik (Trafos, Drosseln, Stromsensoren); Vakuumimprägnierung und Vakuumverguss sind als Leistungen genannt (Fachpresse 2016), welches Werk das ausführt, ist nicht ausdrücklich belegt.</t>
  </si>
  <si>
    <t>https://firmen.wko.at/elektro/eggenburg_gemeinde/
https://austria-forum.org/af/AustriaWiki/Egston
https://www.evi.gv.at/f/282750i
https://eepower.com/news/egston-inductive-components-now-available-from-diamond-power/</t>
  </si>
  <si>
    <t>NL</t>
  </si>
  <si>
    <t>Peize (TTS Group, Overzet 1, 9321 DB Peize); Reijnen Sealing nennt auf eigener Website Standorte Peize und Köln</t>
  </si>
  <si>
    <t>Giessen, Potting, Conformal Coating, PU-Dichtungen</t>
  </si>
  <si>
    <t>Belegt: Peize (NL) und Köln (DE)
reijnensealing.nl nennt als Standorte Peize und Köln und beschreibt Ingießen/Coating/Hotmelt als eigene Leistungen; Substratec/TTS: Produkte können für den deutschen Markt in Köln gefertigt werden. Genaue Werksadresse von Reijnen selbst nicht separat ausgewiesen.</t>
  </si>
  <si>
    <t>Lohnvergießer (kein Anlagenhersteller): Vergussprozess für Kundenbauteile direkt auf der Firmenwebsite belegt, Sitz Peize/Drenthe passt (Directory-Angabe Groningen ist veraltet/unklar). Korrektur an Tom: der Standortbeleg ist über reijnensealing.nl (Peize und Köln) möglich, und P ist höher anzusetzen, da der Prozess belegt und kein Drohnenbezug nötig ist; Bezug zu LED-Verguss und Gasketing ist gegeben.
Verguss: Belegt: Reijnen Sealing ist Lohnvergießer (PU-Verguss, Giessharz als Gehäuse, Teilverguss, Verguss im Kundengehäuse, Conformal Coating, Hotmelt/Low-Pressure-Moulding) für Branchen wie LED/Lighting, Automotive, Defence; zusätzlich roboterapplizierte PU-Schaumdichtungen (FIPFG-Bezug).</t>
  </si>
  <si>
    <t>http://reijnensealing.nl
https://fhi.nl/en/profiel/tts-group/
https://substratec.com/en/i/manufacturing-service/tts-group-bv-adhesives-sealants-dosing
https://substratec.com/en/i/process-engineering-production/rs-reijnen-sealing-potting-glueing-tts-group-bv</t>
  </si>
  <si>
    <t>Zulieferer / Komponenten</t>
  </si>
  <si>
    <t>Oirschot (Vertrieb/Engineering); Produktion Ter Apel</t>
  </si>
  <si>
    <t>Spulen, Trafos, ingegoten Transformatoren (Kundenspezifikation)</t>
  </si>
  <si>
    <t>Belegt: Ter Apel, NL (Mercuriusweg 5)
Mikrocentrum-Gids (älteres Verzeichnis): Ter Apel = Einkauf/Produktion, Oirschot = Verkauf/Engineering/Protoshop; KUK-Group-Unterlagen nennen NL als Produktionsland. Firmenwebsite (wijdeven.com leitet auf kukcoils.com um) nennt Ter Apel nicht; Aktualität offen.</t>
  </si>
  <si>
    <t>Fertigung in NL und vergossene Trafos/Spulen sind plausibel belegt, Firmenwebsite bestätigt Standort aber nicht. Neu: Firma gehört zur Schweizer KUK Group (Appenzell), Entscheidungsstrukturen und Rechtseinheit vor Kontakt klären. Kein Drohnen-/Humanoidenbezug, aber guter Fit für Electrical Insulation/Potting.
Verguss: Plausibel: Lieferprogramm laut Verzeichnis 'ingegoten transformatoren'; die KUK-Gruppe nennt Vergießen/Potting als Leistung. Eigener Vergussprozess am NL-Standort nicht direkt belegt.</t>
  </si>
  <si>
    <t>https://htpgids.mikrocentrum.nl/preview.php?pageId=567
https://www.kukcoils.com/
https://fhi.nl/en/wots/exposant/kuk-wijdeven</t>
  </si>
  <si>
    <t>Drohnen / Verteidigung</t>
  </si>
  <si>
    <t>Schrobenhausen (Hagenauer Forst 27, 86529)</t>
  </si>
  <si>
    <t>Lenkflugkörper, Counter-UAS-Effektoren</t>
  </si>
  <si>
    <t>Belegt: Schrobenhausen
ESUT 11/2024: in Schrobenhausen wird produziert (u.a. Patriot GEM-T, Brimstone), Ausbau um Fertigungslinien bis 2028; mbda-deutschland.de/impressum nennt Schrobenhausen als Adresse.</t>
  </si>
  <si>
    <t>Korrektur an Tom: Impressum nennt Schrobenhausen als Firmenadresse (nicht München/Ottobrunn); Fertigung dort ist durch ESUT belegt, Produktbezug (DefendAir, Flugkörper) belegt. P liegt unter 0,75 und Verguss ist nur abgeleitet, daher GELB statt GRÜN. Rüstungsgroßkunde mit vermutlich zentralem Einkauf.
Verguss: Plausibel aus Produkttyp (Lenkflugkörper/Suchkopf-/Zünderelektronik), kein direkter Beleg für Verguss.</t>
  </si>
  <si>
    <t>https://www.mbda-deutschland.de/impressum/
https://esut.de/2024/11/meldungen/54805/spatenstich-im-hagenauer-forst-mbda-deutschland-baut-produktion-fuer-lenkflugkoerper-aus/
https://defence-network.com/neue-fertigungslinien-bei-mbda-deutschland/</t>
  </si>
  <si>
    <t>Frankfurt (laut wlw.de; ob Frankfurt am Main oder Oder ungeklärt)</t>
  </si>
  <si>
    <t>SMD/THT, Verguss, Spulenfertigung</t>
  </si>
  <si>
    <t>Belegt: Frankfurt, DE (Hersteller laut Verzeichnis)
wlw.de (nur Verzeichnis, keine Firmenwebsite gefunden): 'Hersteller/Fabrikant', gegr. 1956, 20-49 Mitarbeiter, 'Fertigung von Elektron. Baugruppen, Messgerätebau, Spulenfertigung, Verguss, Bestückung SMD/THT'.</t>
  </si>
  <si>
    <t>Korrektur an Tom: Die Firma ist nicht unauffindbar, sie steht im von Tom selbst genannten wlw-Eintrag (Frankfurt, Hersteller, Verguss, Spulen, Baugruppen). Einzige Quelle ist eine Selbstauskunft im Verzeichnis, Firmenwebsite und exakter Sitz fehlen, daher GELB statt GRÜN.
Verguss: Plausibel bis wahrscheinlich: 'Verguss' sowie Spulen- und Baugruppenfertigung sind im Verzeichnis als eigene Leistung gelistet (Selbstauskunft).</t>
  </si>
  <si>
    <t>https://www.wlw.de/de/suche/vergussmassen-fuer-die-elektrotechnik</t>
  </si>
  <si>
    <t>Humanoide Robotik</t>
  </si>
  <si>
    <t>Darmstadt (Im Tiefen See 45, 64293)</t>
  </si>
  <si>
    <t>Kraft-/Drehmomentsensoren, DMS.</t>
  </si>
  <si>
    <t>Belegt: Darmstadt
HBM-Prospekt (S00858) laut Suchtreffer: 'High-End DMS-Fertigung in Darmstadt', eigene mechanische Fertigung; Stellenanzeigen für DMS-Fertigung Darmstadt; Produktionsstandorte u.a. DK, DE, UK, USA, CN, PT.</t>
  </si>
  <si>
    <t>Sitz und Fertigung in Darmstadt (Hessen) sind belegt (Korrektur an Tom: vorher unverifiziert). Abdeck-/Kapselprozesse an Aufnehmern machen Verguss plausibel; da kein direkter Beleg und Konzern (Spectris), GELB. Humanoiden-Bezug nur als Robotik-Anwendung.
Verguss: Plausibel: Dehnungsaufnehmer mit Silikonabdeckung bzw. hermetisch gekapselte Kraftaufnehmer laut HBM-Material; Vergussprozess selbst nicht direkt belegt.</t>
  </si>
  <si>
    <t>https://www.hbm.com/fileadmin/mediapool/hbmdoc/technical/S00858.pdf
https://www.hbkworld.com/en/knowledge/events/technology-days/custom-oem-sensor-days
https://www.hbkworld.com/en/solutions/industries/robotics</t>
  </si>
  <si>
    <t>München (Moosacher Str. 70, 80809), TYTAN Technologies GmbH, HRB 287624 AG München</t>
  </si>
  <si>
    <t>Autonome Abfangdrohnen gegen UAS</t>
  </si>
  <si>
    <t>Belegt: München (Produktionsflächen am neuen Firmensitz, laut Presse im Münchner Westen)
Eigene Website (tytan-technologies.com/legal/imprint): Sitz Moosacher Str. 70, München; Website sagt nur 'designed and manufactured across Europe'. Produktionsflächen in München laut esut.de (Eröffnung 26.01.2026), produktion.de und heise.de; Stellenanzeige Juli 2026 für Fertigung/Montage/Test in München. Serienstart (August 2026 laut Defense News/Berliner Zeitung) nicht bestätigt; Deutz soll Subsystem-Montage übernehmen.</t>
  </si>
  <si>
    <t>Sitz München über Impressum der Firmenwebsite belegt, Produkt (Abfangdrohnen) eindeutig; Fertigung in München aber nur über Presse und Stellenanzeige, Serienstart unbestätigt. Korrektur an Tom: GRÜN nicht haltbar, da Verguss rein abgeleitet ist (P 0,75 auf 0,65 gesenkt) und die offizielle Domain tytan-technologies.com nur 'Europa' als Fertigungsraum nennt.
Verguss: Plausibel (nur aus Produkttyp abgeleitet): Abfangdrohnen mit Elektronik/Sensorik, kein Beleg für Verguss; bei Kleindrohnen kommt teils nur Schutzlack statt Verguss zum Einsatz.</t>
  </si>
  <si>
    <t>https://tytan-technologies.com
https://tytan-technologies.com/legal/imprint
https://esut.de/2026/01/meldungen/67307/tytan-technologies-eroeffnet-neuen-standort-in-bayern/
https://www.produktion.de/ruestung-aerospace/hensoldt-und-tytan-starten-kooperation-bei-drohnenabwehr/2593724</t>
  </si>
  <si>
    <t>Arnsberg (Werler Straße 4, 59755), AIRROBOT GmbH &amp; Co. KG, HRA 5919 AG Arnsberg</t>
  </si>
  <si>
    <t>Militärische Mini-UAS AR100-B/AR100-H, Hauptlieferant Mikado II (Bundeswehr)</t>
  </si>
  <si>
    <t>Belegt: Arnsberg (NRW), Deutschland
airrobot.com: 'Development, production, and service in Germany'; Legal Notice nennt Werler Straße 4, 59755 Arnsberg (Amtsgericht Arnsberg); About-us laut Websuche: ca. 1.800 m2, davon 1.400 m2 Fertigung (Seite selbst nicht geöffnet).</t>
  </si>
  <si>
    <t>Sitz Arnsberg und Fertigung in Deutschland über die Firmenwebsite belegt; Produkt (Mini-UAS) belegt, Verguss nur aus Produkttyp abgeleitet, daher GELB. Hinweis: Firma gehört seit 2025 zu Quantum Systems, vor Kontakt juristische Einheit klären (Rechtsform GmbH &amp; Co. KG).
Verguss: Plausibel (abgeleitet): militärische Mini-/Mikro-UAS mit Elektronik/Sensorik, kein Beleg für Verguss.</t>
  </si>
  <si>
    <t>https://www.airrobot.com
https://www.airrobot.com/legal-notice
https://airrobot.com/about-us/
https://militaeraktuell.at/quantum-systems-uebernimmt-air-robot/</t>
  </si>
  <si>
    <t>Rotenburg (Wümme), Zum Flugplatz 68, 27356</t>
  </si>
  <si>
    <t>A1-Falke Netz-Abfangdrohne gegen Drohnen</t>
  </si>
  <si>
    <t>Nicht belegt: Rotenburg (Wümme) vermutlich; auf Firmenwebsite nicht ausgewiesen
argus-interception.com nennt nur die Adresse und 'Made in Germany', keinen Fertigungsort. Stellenanzeigen (Mechaniker Fluggeräte/Drohnen Fertigung, Ingenieur Serienüberführung &amp; Produktion, Rotenburg) deuten auf Fertigung am Sitz hin, Anzeigen undatiert und Serienfertigung noch im Aufbau.</t>
  </si>
  <si>
    <t>Sitz Rotenburg und Produkt (Drohne A1-Falke, Counter-UAS) sind von der Firmenwebsite belegt. Fertigung im Land nur indirekt über Stellenanzeigen, Serienüberführung läuft noch; Verguss aus Produkttyp plausibel. Tom-Angaben bestätigt; die Aussage 'Fertigung in Rotenburg' ist nicht Website-belegt.
Verguss: Plausibel, nicht belegt: Abfangdrohne A1-Falke mit Radar, Lidar und Tiefenkamera enthält Elektronik; Stellenanzeigen nennen interne und externe Fertigung, Vergussprozess ist nicht erwähnt.</t>
  </si>
  <si>
    <t>https://www.argus-interception.com
https://www.arbeitnow.com/jobs/companies/argus-interception-gmbh/ingenieur-serienuberfuhrung-produktion-rotenburg-47971
https://esut.de/2025/09/meldungen/63815/bundeswehr-erhaelt-netzabfangdrohne-von-argus-interception/</t>
  </si>
  <si>
    <t>Ismaning</t>
  </si>
  <si>
    <t>Grille (Verwundetenabschub), Wespe, Bussard, MissMarvin-Software; ISR-Drohnen mit Hensoldt</t>
  </si>
  <si>
    <t>Belegt: Ismaning vermutet, nicht explizit belegt
Business Punk: Serienanlauf der Rettungsdrohne, Sitz Ismaning bei München; defence-network: Hensoldt-Kooperation 'Made in Germany'. avilus.de bei meiner Prüfung nicht abrufbar (503), theorg.com nennt Ismaning als HQ. Nur Presse, kein Primärbeleg zum Fertigungsort.</t>
  </si>
  <si>
    <t>Sitz und Drohnenbezug sind belegt, Fertigung in Deutschland nur über Presse und Partner-Aussagen, Ort offen. Ohne Primärquelle (Website down) kein GRÜN; Tom bestätigt, P auf 0,6 (Tom 0,65) wegen fehlender Fertigungsbelege.
Verguss: Plausibel aus Produkttyp (Drohnenelektronik), Eigen- oder Fremdverguss nicht belegt.</t>
  </si>
  <si>
    <t>https://www.business-punk.com/raus-aus-der-kampfzone-wie-eine-deutsche-drohne-leben-rettet/
https://defence-network.com/hensoldt-avilus-neue-aufklaerungsdrohnen/
https://theorg.com/org/avilus/offices/hq</t>
  </si>
  <si>
    <t>Duivendrecht (Industrieweg 3)</t>
  </si>
  <si>
    <t>Evo/Pro VTOL-Fixed-Wing UAV</t>
  </si>
  <si>
    <t>Belegt: Duivendrecht, NL (eigene Fertigung); zusätzliche Kapazität beim Partner VDL in Born (Limburg)
deltaquad.com/uav-technician: 'Manufactured in our facility in the Netherlands'; Umzug nach Duivendrecht 2023 (unmannedsystemstechnology.com); VDL-Partnerschaft Born laut DeltaQuad-Newsroom.</t>
  </si>
  <si>
    <t>Sitz und eigene Fertigung in NL sind belegt, Drohnenbezug eindeutig (VTOL-UAV). Der Vergussprozess ist nur aus dem Produkttyp abgeleitet, daher GELB. Tom bestätigt; ergänzt: Teile der Produktion/Elektronik wandern zu Partnern (VDL Born, Metis).
Verguss: Plausibel, nicht belegt: kein Hinweis auf Potting auf den Seiten; Drohnenelektronik legt Verguss nahe, PCBA soll künftig extern (Metis/Variass, LoI 08/2026) laufen.</t>
  </si>
  <si>
    <t>https://www.deltaquad.com/uav-technician/
https://www.unmannedsystemstechnology.com/2023/03/deltaquad-relocates-to-facilitate-growing-market-demands/
https://www.deltaquad.com/newsroom/press-releases/deltaquad-and-vdl-announce-partnership-to-expand-production-of-surveillance-drones</t>
  </si>
  <si>
    <t>nicht verifiziert (Produktion laut Handelsblatt-Zitaten im Raum München)</t>
  </si>
  <si>
    <t>Autonome Strike-Drohnen; Auterion liefert Software/OS, Airlogix Hardware</t>
  </si>
  <si>
    <t>Belegt: Raum München, genauer Ort nicht veröffentlicht; zweiter Standort in Ostdeutschland geplant
auterion.com: 'Production takes place entirely in Germany' (Land belegt, Ort nicht); Standort Raum München nur sekundär (cash.ch/Kurs, Handelsblatt-Zitat).</t>
  </si>
  <si>
    <t>Fertigung in Deutschland ist vom Unternehmen selbst belegt, Sitz und Fertigungsort sind es nicht. Auterion liefert Software/Skynode, Airlogix die Plattformen; wer Elektronik und Verguss übernimmt, ist unbelegt. Tom bestätigt, P leicht auf 0,55.
Verguss: Offen: Seite nennt weder Elektronikfertigung noch Verguss; aus Drohnen-Produkttyp (Strike-Drohnen, Flugrechner) nur abgeleitet.</t>
  </si>
  <si>
    <t>https://auterion.com/auterion-airlogix-joint-venture-receives-first-contract-from-germany/
https://www.cash.ch/news/deutsche-serienproduktion-von-5000-drohnen-fur-kiew-geht-los-965809
https://airlogix.io/en/news/auterion-and-airlogix-establish-a-joint-venture</t>
  </si>
  <si>
    <t>Hengelo (Destinus Netherlands); Konzern Destinus mit Schweizer Wurzeln</t>
  </si>
  <si>
    <t>Militaerdrohnen, Marschflugkoerper; Aerialtronics uebernommen</t>
  </si>
  <si>
    <t>Belegt: Hengelo, NL
NOS-Reportage: in Hengelo werden Triebwerke gebaut und getestet, 'We produceren grote drones met vaste vleugels'; Presse 03/2025: Produktionsteam-Aufbau in Hengelo, Kooperation mit VDL gemeldet (unbestätigt).</t>
  </si>
  <si>
    <t>Fertigung in Hengelo ist durch die NOS-Reportage gestützt, Drohnen-/Defence-Bezug klar. Korrektur: Aerialtronics war insolvent, Destinus übernahm nur Technologie/Personal, nicht die Rechtseinheit; Ansprechpartner ist Destinus. Verguss nur aus Produkttyp, P von 0,6 auf 0,55.
Verguss: Plausibel, nicht belegt: Drohnen-/Triebwerksbau mit Elektronikmontage, aber keine Aussage zu Verguss.</t>
  </si>
  <si>
    <t>https://nos.nl/l/2586473
https://siliconcanals.com/destinus-acquires-aerialtronics/
https://www.dutchnews.nl/2025/03/destinus-to-work-with-vdl-on-drone-production-fd</t>
  </si>
  <si>
    <t>Weßling (Argelsrieder Feld 20, 82234)</t>
  </si>
  <si>
    <t>Drehmomentgeregelte Robotergelenke/Aktuatoren.</t>
  </si>
  <si>
    <t>Belegt: Weßling
Bayern Innovativ-Profil: 'develops and produces ... drives ... at its Weßling site'; sensodrive.de bestätigt Weßling, ISO 9001, SensoJoint-Antriebe und Drehmomentsensoren.</t>
  </si>
  <si>
    <t>Korrektur an Tom: Fertigung in Weßling ist jetzt durch das Bayern-Innovativ-Profil ausdrücklich belegt. Zielmärkte laut Website Cobots, Medizinrobotik, Force-Feedback; Humanoiden-Bezug nicht belegt. Hinweis: Force-Feedback-Automotive läuft laut Website auf separater Seite sensomotive.de. Motorenlieferant (TQ) aus der Vorprüfung nicht verifiziert.
Verguss: Plausibel aus Produkttyp (Drehmomentsensorik und Antriebselektronik), kein Beleg für Verguss.</t>
  </si>
  <si>
    <t>https://www.sensodrive.de
https://www.bayern-innovativ.de/en/profiles/sensodrive-gmbh/</t>
  </si>
  <si>
    <t>Bad Mergentheim (Max-Eyth-Straße 16, 97980)</t>
  </si>
  <si>
    <t>Ex-Schutz-Elektronik</t>
  </si>
  <si>
    <t>Belegt: Bad Mergentheim, Gotteszell (Bayern), Reinbek (Schleswig-Holstein)
bartec.com/company/about-bartec: 'Our BARTEC production sites are in: Bad Mergentheim (Headquarter), Gotteszell, Reinbek (Germany)'. Welche Produkte wo entstehen, ist dort nicht ausgewiesen.</t>
  </si>
  <si>
    <t>Sitz und deutsche Produktionsstandorte sind von der Firmenwebsite belegt; Produktbezug (Ex-Schutz-Elektronik) belegt. Korrektur an Tom: Fertigung in DE ist über die Website-Standortliste belegt (nicht 'nicht verifiziert'). Verguss nur aus Produkttyp ableitbar, kein Drohnen-/Humanoidbezug. Gotteszell-Standort (Food-Sparte) steht laut BARTEC zum Verkauf.
Verguss: Plausibel, nicht belegt: Eigene Ex-Schutz-Elektronik (Panel-PCs, Leuchten, Verteiler); Verguss ist bei Ex-Schutz (Zündschutzart Vergusskapselung) typisch, ein Beleg bei BARTEC wurde nicht gefunden.</t>
  </si>
  <si>
    <t>https://bartec.com/company/about-bartec/
https://www.bartec.com
https://bartec.com/company/magazine/bartec-plans-to-divest-the-food-business-unit-to-ultrakust/
https://bulkinside.com/manufacturers/bartec-gmbh/</t>
  </si>
  <si>
    <t>Weisendorf (Sauerheimer Weg 16, 91085 Weisendorf)</t>
  </si>
  <si>
    <t>Spulen, Übertrager, Induktivitäten, Ringkerndrosseln</t>
  </si>
  <si>
    <t>Belegt: Weisendorf (Bayern)
dsw-elektronik.de/die-firma: Hersteller von Spulen, Drosseln, Übertragern, Wickeln, Montage, 'Made in Germany'; Impressum: DSW Elektronik GmbH, HRB 2583 Registergericht Fürth; Keytobavaria: ca. 25 Mitarbeiter.</t>
  </si>
  <si>
    <t>Wichtige Korrektur an Tom: Die von ihm behaupteten Website-Schlagworte 'Vergießen, Imprägnieren, Verguss, Kunstharz' und die Branchen Drohnen/Robotik fand ich auf der Website nicht (Branchen: Unterhaltungselektronik, ÖPNV, Bahn, Nutzfahrzeuge, Netzausbau, RFID). Fertigung in Bayern belegt, Verguss nur aus Produkttyp abgeleitet (Spulen), daher von GRÜN auf GELB herabgestuft.
Verguss: Offen: auf den Seiten Startseite, Die Firma und Impressum kein Hinweis auf Vergießen/Imprägnieren/Kunstharz; nur Kompass-Verzeichniseintrag nennt Verguss. Aus Produkttyp (Wickelgüter) plausibel, aber nicht belegt.</t>
  </si>
  <si>
    <t>https://www.dsw-elektronik.de
https://www.dsw-elektronik.de/die-firma.html
https://www.dsw-elektronik.de/impressum
https://www.keytobavaria.com/company-details/dsw-elektronik-gmbh-15966</t>
  </si>
  <si>
    <t>Hutthurm (Alte Strasse 4, 94116)</t>
  </si>
  <si>
    <t>MAUS Loitering Munition/Aufklärung; Sprengköpfe (NATO-Tests IABG); geplante Drohnenmotoren</t>
  </si>
  <si>
    <t>Nicht belegt: nicht verifiziert (Deutschland nur als Firmenaussage)
donaustahl.com: Adresse Hutthurm im Footer, 'Made in Germany', Ziel '100% deutsche Wertschöpfungskette', 'industrialisierte, flexible Massenfertigung' - kein Produktionsort genannt, keine Karriereseite.</t>
  </si>
  <si>
    <t>Sitz Hutthurm (Bayern) über die Website bestätigt, Produkte belegt. Fertigungsort in Deutschland nur als Werbeaussage, Verguss nur abgeleitet. Gegenüber Tom P von 0,6 auf 0,5 gesenkt, da Gefechtsköpfe keine klassische Vergussanwendung sind.
Verguss: Plausibel/offen: Avionik 'Combat Stack' (Elektronik) und UAV-Gefechtsköpfe; die Website nennt kein Potting/Verguss, Gefechtsköpfe werden mit Sprengstoff verfüllt (anderer Prozess), nur die Elektronik wäre relevant.</t>
  </si>
  <si>
    <t>https://www.donaustahl.com
https://militaeraktuell.at/donaustahl-iabg-gefechtskoepfe-nato-standards/</t>
  </si>
  <si>
    <t>Franka Robotics (Agile Robots)</t>
  </si>
  <si>
    <t>München (Koppstraße 12, 81379), Franka Robotics GmbH</t>
  </si>
  <si>
    <t>Kollaborativer Roboterarm Franka Research/FR3 mit Drehmomentsensoren.</t>
  </si>
  <si>
    <t>Belegt: Kaufbeuren (Bayern), Deutschland
franka.de-News: Franka-Roboter werden am Agile-Robots-Standort Kaufbeuren gebaut (zuvor Allgäu); Impressum franka.de/imprint: Sitz München.</t>
  </si>
  <si>
    <t>Sitz München und Fertigung Kaufbeuren über die Firmenwebsite belegt; Produkt (Cobot-Arm, kein Humanoid belegt) bestätigt. Verguss nur abgeleitet, daher GELB. Fertigung liegt beim Konzern Agile Robots, Einheit vor Kontakt klären.
Verguss: Plausibel/offen: Cobot-Arme mit Drehmomentsensoren in jeder Achse; kein Beleg für Verguss.</t>
  </si>
  <si>
    <t>Ansprechpartner Fertigung/Sensorik in Kaufbeuren recherchieren und Verguss der Sensorelektronik erfragen.</t>
  </si>
  <si>
    <t>https://www.franka.de
https://www.franka.de/imprint
https://franka.de/news/agile-robots-ramps-up-production-of-franka-robots-in-kaufbeuren</t>
  </si>
  <si>
    <t>Neura Robotics</t>
  </si>
  <si>
    <t>Metzingen (Gutenbergstraße 44, 72555 Metzingen laut Drittverzeichnissen; Impressum der Website ohne Adresse abrufbar)</t>
  </si>
  <si>
    <t>Kognitive Roboter (MAiRA, LARA) und Humanoid 4NE1.</t>
  </si>
  <si>
    <t>Belegt: Metzingen
Eigene Stellenanzeige (jobs.neura-robotics.com, Produktionsmitarbeiter): Montage, Kalibrierung und Inbetriebnahme der Roboter; Presse (Dez. 2025/Jun. 2026): Produktion bleibt in Metzingen, Serienausbau geplant. Adresse nur aus Drittquellen (PitchBook, Handelsregister-Aggregator).</t>
  </si>
  <si>
    <t>Sitz und Montage in Metzingen (DE) belegt, Produktbezug (Cobots, humanoider 4NE1) stark. Korrektur an Tom: Fertigung ist durch Eigenquelle (Stellenanzeige) belegt, nicht nur sekundär. Ob Aktoren/Elektronik selbst gefertigt und vergossen werden oder von Schaeffler kommen, ist offen.
Verguss: Offen: Roboter-Montage in Metzingen belegt, Motoren/Aktoren teils über Partner Schaeffler; eigene Elektronik-/Motorfertigung mit Verguss nicht belegt, aus Produkttyp (Cobots, Humanoid) ableitbar.</t>
  </si>
  <si>
    <t>Klären, welche Elektronik- und Motorbauteile in Metzingen selbst gefertigt und vergossen werden.</t>
  </si>
  <si>
    <t>https://jobs.neura-robotics.com/offer/produktionsmitarbeiter-human/54c3f2f9-9053-43ff-88d3-7f39adfa4532
https://neura-robotics.com
https://pitchbook.com/profiles/company/459542-98
https://www.produktion.de/technik/robotik-automation/schaeffler-und-neura-partnerschaft-fuer-humanoide-roboter-458.html</t>
  </si>
  <si>
    <t>OptoPrecision</t>
  </si>
  <si>
    <t>Bremen (Auf der Höhe 15, 28357 Bremen)</t>
  </si>
  <si>
    <t>Rochen VT-4 (VTOL, BVLOS, bis 600 km mit Range Extender) für Umweltmonitoring; Kamera-/Lasersysteme</t>
  </si>
  <si>
    <t>Nicht belegt: Bremen (nur über Drittquelle, nicht auf Firmenwebsite)
Kontaktseite optoprecision.de bestätigt Adresse Bremen, enthält aber keine Aussage zu Fertigung/Produktion. Toms Bremer Firmenporträt-PDF war für mich nicht abrufbar (HTTP 403), daher nicht verifiziert.</t>
  </si>
  <si>
    <t>Sitz Bremen und Produkte (Drohne Rochen VT-4, MODAR, LED-Suchscheinwerfer, Ofenkameras) auf der Website belegt. Eigenfertigung in Bremen und Verguss sind nicht belegt. Korrektur an Tom: fertigung_belegt nicht true, da nur Drittquelle (nicht prüfbar); P 0,5 statt 0,6.
Verguss: Offen: weder Potting noch Verguss auf der Website erwähnt; nur aus Produkttyp (LED-Suchscheinwerfer, Ofenkameras mit LED, Laser-/Kamerasysteme) abgeleitet.</t>
  </si>
  <si>
    <t>Telefonisch klären, ob in Bremen selbst gefertigt wird und ob LED-/Elektronikmodule vergossen werden.</t>
  </si>
  <si>
    <t>https://www.optoprecision.de
https://www.optoprecision.de/kontakt.html</t>
  </si>
  <si>
    <t>Quantum Frontline Industries (JV)</t>
  </si>
  <si>
    <t>nicht belegt (Gilching nur laut Stellenanzeigen; Quantum Systems sitzt in Gilching)</t>
  </si>
  <si>
    <t>Industrialisierung ukrainischer Drohnen</t>
  </si>
  <si>
    <t>Belegt: Deutschland (Süddeutschland laut FT/Defence Post); genauer Standort nicht öffentlich
defence-network.com: erste in Deutschland gefertigte Linza 3.0 übergeben, Produktion am neuen Standort in Deutschland nach zwei Monaten gestartet; Ort wird nicht genannt (teils aus Sicherheitsgründen geheim). Belegt für das Land DE, nicht für den Ort.</t>
  </si>
  <si>
    <t>Joint Venture von Quantum Systems und Frontline Robotics, Produktion in Deutschland laut Presse gestartet (Produkte Linza, Zoom, Buria). Sitz und exakter Fertigungsort sowie Verguss sind nicht belegt; Gilching/Wessling stammen nur aus Stellenanzeigen. Korrektur an Tom: Fertigung im Land (DE) ist belegt, nur der Ort nicht; mögliche Doppelung mit Quantum Systems (Mutter) vor Kontakt prüfen.
Verguss: Offen: kein Beleg; Drohnen- bzw. Elektronikfertigung lässt Verguss grundsätzlich möglich erscheinen, ist aber nur abgeleitet.</t>
  </si>
  <si>
    <t>Rechtliche Einheit und Standort klären (Verhältnis zu Quantum Systems GmbH Gilching), Verguss bei Quantum Systems nachfragen.</t>
  </si>
  <si>
    <t>https://defence-network.com/quantum-frontline-industries-erste-drohne/
https://tech.eu/2025/12/15/quantum-systems-and-frontline-robotics-set-up-europes-first-foreign-drone-production-line-for-ukraine/
https://thedefensepost.com/2025/12/16/german-ukrainian-firm-uas-production/amp/
https://www.stepstone.de/jobs/production-manager/in-gilching</t>
  </si>
  <si>
    <t>Schiebel Elektronische Geraete GmbH</t>
  </si>
  <si>
    <t>Wien (Margaretenstraße 112, 1050)</t>
  </si>
  <si>
    <t>Elektronische Geraete (Minensuch-/Detektionstechnik laut Schiebel-Gruppe, nicht verifiziert)</t>
  </si>
  <si>
    <t>Belegt: Wiener Neustadt (Produktionswerk der Schiebel-Gruppe); Fertigung der Minensuchgeräte dort nicht aktuell belegt
schiebel.net: Production plant in Wiener Neustadt, Austria; Herold: Schiebel Mine Detection GmbH vertreibt Geräte, die Schiebel Elektronische Geräte GmbH herstellt; NÖ-Landespresse 2004: Minensuchgeräte und Camcopter sollen in Wiener Neustadt gebaut werden. Welche Gesellschaft das Werk betreibt, ist offen.</t>
  </si>
  <si>
    <t>Fertigung in Österreich ist für die Gruppe belegt, die Zuordnung zur genannten GmbH nur indirekt (Herold, ältere Landesmeldungen). Drohnenbezug über Camcopter der Gruppe, Produkt der GmbH selbst ist Minensuche. Korrektur an Tom: Werksort Wiener Neustadt direkt auf schiebel.net bestätigt.
Verguss: Plausibel aus Produkttyp (Minendetektoren und Camcopter-Avionik, Elektronik im Feldeinsatz), kein Beleg.</t>
  </si>
  <si>
    <t>Juristische Einheit (Elektronische Geräte vs. Aircraft GmbH) klären, dann Ansprechpartner Fertigung Wiener Neustadt suchen.</t>
  </si>
  <si>
    <t>https://schiebel.net
https://www.herold.at/gelbe-seiten/wien/nZhSm/schiebel-mine-detection-gmbh/
https://www.noe.gv.at/noe/39278_22-Jaenner-2004-14-48-Neue-Betriebsansiedlung-im-Busi.html?print=true</t>
  </si>
  <si>
    <t>Schiebel GmbH</t>
  </si>
  <si>
    <t>Wien (Margaretenstraße 112); Produktion Wiener Neustadt</t>
  </si>
  <si>
    <t>Camcopter S-100/S-300 VTOL-UAS</t>
  </si>
  <si>
    <t>Belegt: Wiener Neustadt (AT)
schiebel.net/Company: Fertigung zentriert in Wiener Neustadt, Composite-Fertigung im eigenen Haus, 23.000 m² Produktions-/Entwicklungsfläche, über 300 Mitarbeiter; Stellenanzeige zu Montage von Sub-/Hauptbaugruppen.</t>
  </si>
  <si>
    <t>Drohnenhersteller (Camcopter S-100/S-300), Fertigung in AT von der Firmenwebsite belegt, Produktbezug stark. Verguss eigener Bauteile bleibt offen, Elektronikherkunft unbekannt; juristische Einheit (Schiebel GmbH vs. Elektronische Geräte GmbH) vor Kontakt klären. Tom-Angaben bestätigt, Sitz Wien ergänzt.
Verguss: Offen: Kein Beleg für Elektronikfertigung oder Verguss; Fertigungsbeschreibung nennt Composite und Montage. Elektronik ist als Teil eines UAS nur ableitbar. Es existiert eine eigene Einheit 'Schiebel Elektronische Geräte GmbH', Zuordnung zur Elektronikfertigung nicht belegt.</t>
  </si>
  <si>
    <t>Juristische Einheit und Elektronikfertigung (Avionik, Verguss) klären, bevor Kontakt aufgenommen wird.</t>
  </si>
  <si>
    <t>https://schiebel.net/Company/
https://militaeraktuell.at/wo-die-camcopter-herkommen-schiebel/
https://www.karriere.at/jobs/10020203
https://marketplace.aviationweek.com/suppliers/schiebel-elektronische-geraete-gmbh/</t>
  </si>
  <si>
    <t>Stark Defence</t>
  </si>
  <si>
    <t>Berlin</t>
  </si>
  <si>
    <t>Virtus FPV-Loitering-Munition, Bundeswehr-Rahmenvertrag</t>
  </si>
  <si>
    <t>Belegt: Raum München (laut Presse ca. 5.000 m2); weitere Standorte Swindon (UK), Ukraine
stark-defence.com nennt nur Länder (DE, UA, UK, GR, SE) und 18.500 m2 Produktionsfläche ohne Ort; Impressum-URL 404. Münchner Produktionsstätte laut Wikipedia, Handelsblatt-Bericht (via echo24) und Tectonic Defense (nur Suchtreffer ausgewertet, Quellen nicht einzeln geöffnet). Berlin als Hauptsitz laut esut/Wikipedia.</t>
  </si>
  <si>
    <t>Berlin als Sitz plausibel, deutsche Fertigung im Raum München nur durch Sekundärquellen belegt (Tom nannte nur Wikipedia, Presse ergänzt). Verguss abgeleitet, P 0,5, daher GELB.
Verguss: Plausibel (abgeleitet): Loitering Munition Virtus mit Elektronik und Sprengkopf; Stellenanzeige 'Head of Production' nennt Mechanik-, Elektrik- und Composite-Baugruppen; kein direkter Verguss-Beleg.</t>
  </si>
  <si>
    <t>Standort der deutschen Fertigung und Elektronik-Zulieferstruktur klären, bevor Kontakt.</t>
  </si>
  <si>
    <t>https://www.stark-defence.com
https://en.wikipedia.org/wiki/STARK
https://www.echo24.de/welt/drohnen-fuer-europas-militaer-deutscher-aufsteiger-vom-start-up-zum-ruestungspartner-zr-93737566.html
https://ukdefencejournal.org.uk/uk-boosts-drone-production-as-stark-opens-new-swindon-factory/</t>
  </si>
  <si>
    <t>Synapticon GmbH</t>
  </si>
  <si>
    <t>Schönaich (Steinbeisstraße 1, 71101)</t>
  </si>
  <si>
    <t>Servoantriebe/Servo-Controller, Aktuatorplattform (mit Stabilus).</t>
  </si>
  <si>
    <t>Nicht belegt: Nicht belegt (Entwicklung/Hardware-Abteilung Schönaich; Serienfertigungsort unbekannt)
Website: 'develop and produce' Hard-/Software, kein Produktionsort. Stellenanzeigen nennen PCB-Bestückung in der Hardware-Abteilung Schönaich (eher Prototyp/Test); Serienfertigung ungeklärt.</t>
  </si>
  <si>
    <t>Sitz BW und Robotik-/Humanoid-Anwendungsbezug belegt (Humanoide als Anwendungsfeld), Fertigungsort nicht. Verguss nur aus Produkttyp abgeleitet. Tom bestätigt.
Verguss: Offen: Servoantriebe/Aktuatoren (ACTILINK, SOMANET) sind ein Produkttyp mit plausiblem Verguss, aber nicht belegt.</t>
  </si>
  <si>
    <t>Per Anfrage klären, ob SOMANET/ACTILINK in Schönaich gebaut oder extern gefertigt werden.</t>
  </si>
  <si>
    <t>https://www.synapticon.com/en/company/about-us
https://st.com/content/st_com/en/partner/partner-program/partnerpage/synapticon.html</t>
  </si>
  <si>
    <t>Tulip Tech B.V.</t>
  </si>
  <si>
    <t>Den Bosch</t>
  </si>
  <si>
    <t>Drohnen-Akkupacks (Defensie-Vertrag)</t>
  </si>
  <si>
    <t>Belegt: Den Bosch (Handmontage laut DroneXL) und VDL-Linie in Born (Limburg) - beides NL
Presse (UST/DroneLife/DutchNews/Keen Venture Partners): automatisierte Batteriepack-Linie mit VDL in Born; DroneXL: Packs per Hand in Den Bosch montiert; NIDV: BMS-Design bis Pack-Assembly in den NL. Keine eigene Firmenwebsite geprüft (Tom: tulip-tech.com falsche Domain; Unternehmen heißt im NIDV-Verzeichnis Tulip Tech Group B.V.).</t>
  </si>
  <si>
    <t>Sitz Den Bosch und Fertigung in NL belegt, Produktbezug (Drohnenakkus) belegt, aber Vergussprozess nicht belegt, daher GELB. Korrektur an Tom: P von 0,6 auf 0,5, da kein Hinweis auf Potting/Gap Filler; Teil der Packmontage läuft über VDL (Born), ein möglicher Verguss läge dort beim Dritten.
Verguss: Offen: In keiner Quelle ist Verguss/Potting oder Gap Filler genannt; nur aus Produkttyp (Li-Ion-Packs, Kühlung/Heizung integriert) abgeleitet.</t>
  </si>
  <si>
    <t>Klären, ob Packs vergossen/Gap-Filler appliziert werden und ob in Den Bosch oder bei VDL.</t>
  </si>
  <si>
    <t>https://www.unmannedsystemstechnology.com/2026/06/tulip-tech-to-scale-uav-battery-production/
https://dronexl.co/2025/06/07/dutch-drone-battery-tulip-tech/
https://www.nidv.eu/en/industry-guide/tulip-tech-group-b-v/
https://www.dutchnews.nl/2025/10/defence-firms-to-set-up-production-in-former-nedcar-factory/</t>
  </si>
  <si>
    <t>Wingcopter</t>
  </si>
  <si>
    <t>Weiterstadt</t>
  </si>
  <si>
    <t>Elektrische Transport-/Lieferdrohnen (Wingcopter 198)</t>
  </si>
  <si>
    <t>Belegt: Weiterstadt (Hessen), Deutschland laut Presse 2021
wingcopter.com nennt weder Adresse noch Werk. Weiterstadt-Produktionsstätte (ca. 7.200 m2, teilautomatisierte Serienfertigung) laut Presse 2021 (VentureBeat, EIB-Meldungen); keine Quelle für 2026 gefunden. JV mit TAF Industries (MoU 13.02.2026) nennt keinen Standort.</t>
  </si>
  <si>
    <t>Sitz Weiterstadt (Hessen) und Fertigung nur über ältere Presse belegt, aktueller Stand offen. Produkt und Defence-Bezug (Wingcopter 262, JV TAF) über die Website belegt. Verguss abgeleitet, daher GELB.
Verguss: Plausibel (abgeleitet): elektrische Drohnen (198/262) mit Elektronik und Antrieben, kein Beleg für Verguss.</t>
  </si>
  <si>
    <t>Aktuellen Produktionsstandort und Verguss/Elektronikfertigung im Erstkontakt klären.</t>
  </si>
  <si>
    <t>https://wingcopter.com
https://venturebeat.com/technology/wingcopter-raises-22-million-to-ramp-up-delivery-drone-production
https://www.eenewseurope.com/en/wingcopter-raises-42m-for-drone-production
https://www.produktion.de/ruestung-aerospace/ukrainische-taf-und-deutsche-wingcopter-gruenden-drohnenjv/2608525</t>
  </si>
  <si>
    <t>ARX Robotics</t>
  </si>
  <si>
    <t>München</t>
  </si>
  <si>
    <t>Unbemannte Bodenfahrzeuge (Gereon) und Software</t>
  </si>
  <si>
    <t>Belegt: Serienfertigung beim Partner DEUTZ in Ulm (BW); eigene Produktionsstätte im Raum München laut Presse
DEUTZ-Pressemitteilung 07.07.2026: Start der Serienproduktion des UGV Gereon im DEUTZ-Werk Ulm (Start 'in wenigen Wochen', Aufnahme nicht bestätigt); munich-startup meldet Eröffnung einer Produktionsstätte im Raum München (nicht selbst geöffnet bzw. geprüft). Website nennt keine Fertigungsorte.</t>
  </si>
  <si>
    <t>Sitz München und Produkte (Gereon, Hector) belegt; Fertigung in DE (Ulm bei DEUTZ) per Pressemitteilung belegt, aber extern und Anlauf offen. Verguss eigener Bauteile nicht belegt, Entscheider für Vergussprozess liegt ggf. bei DEUTZ oder Zulieferern. Tom-Angaben bestätigt.
Verguss: Offen: Serienfertigung extern bei DEUTZ, Verguss eigener Bauteile würde bei Zulieferern oder Partner stattfinden; Bodenroboter mit Elektronik, kein eigener Vergussprozess belegt.</t>
  </si>
  <si>
    <t>Klären, wer die Elektronik der Gereon-Serie fertigt und vergießt (ARX, DEUTZ oder Zulieferer).</t>
  </si>
  <si>
    <t>https://www.deutz.com/fileadmin/contents/global/news/pressemitteilungen/2026_de/20260707_DEUTZ_PM_Defense_ARX_Robotics.pdf
https://www.munich-startup.de/107786/arx-robotics-eroeffnet-neue-produktionsstaette-im-raum-muenchen/
https://esut.de/en/2026/07/meldungen/72620/deutz-beginnt-mit-der-produktion-des-ugv-gereon/
https://arx-robotics.com</t>
  </si>
  <si>
    <t>Alpine Eagle</t>
  </si>
  <si>
    <t>München (Prinzregentenstr. 54, 80538; Alpine Eagle GmbH)</t>
  </si>
  <si>
    <t>Sentinel: luftgestützte Drohnenabwehr/Abfangsystem</t>
  </si>
  <si>
    <t>Nicht belegt: Geplant: ca. 2.000 m² Produktionsstandort nahe München (nicht bestätigt)
tech.eu 19.03.2026: 'planning to open' (Überschrift sagt 'opens'), kein Eröffnungsdatum; Impressum nennt nur Sitz, keinen Produktionsort.</t>
  </si>
  <si>
    <t>Sitz München und Drohnenabwehr-Bezug belegt, eigene Fertigung nur angekündigt und in der Quelle widersprüchlich beschrieben, daher nicht als belegt gewertet. Verguss nicht belegt; P von Tom 0,5 auf 0,45.
Verguss: Offen: kein Beleg; Interceptor-Elektronik macht Verguss denkbar, Produktion aber noch nicht bestätigt.</t>
  </si>
  <si>
    <t>Status des Produktionsstandorts bei Alpine Eagle erfragen (Eröffnung, Fertigungstiefe).</t>
  </si>
  <si>
    <t>https://www.alpineeagle.com/imprint
https://tech.eu/2026/03/19/alpine-eagle-scales-counter-drone-production-as-europe-accelerates-defence-readiness/</t>
  </si>
  <si>
    <t>Avy B.V.</t>
  </si>
  <si>
    <t>Amsterdam (Sloterdijk; Donauweg 21 laut Drittquellen)</t>
  </si>
  <si>
    <t>Aera VTOL-Drohne (Medical, Surveillance)</t>
  </si>
  <si>
    <t>Belegt: Amsterdam (NL)
avy.eu/company: HQ Amsterdam, 'Made in Amsterdam'; Silicon Canals: Design, Montage und Produktion der Aera im Haus; Open-Day-Seite mit Produktionsbesichtigung; Stellenanzeige Production &amp; Maintenance in Amsterdam. Selbstaussagen, keine Werksfläche bekannt.</t>
  </si>
  <si>
    <t>Eigenfertigung der Aera-Drohne in Amsterdam ist belegt (Selbstaussage plus Stellenanzeige), Produktbezug klar. Vergussprozess ist nicht belegt, kleine Stückzahl (ca. 30 Mitarbeiter). Korrektur an Tom: Adresse Donauweg 21 stammt aus Drittquellen; P von 0,5 auf 0,45.
Verguss: Offen: kein Beleg auf der Website; aus Produkttyp (VTOL-Drohne mit Avionik/Elektronik) nur abgeleitet.</t>
  </si>
  <si>
    <t>Klären, ob Elektronik/Akkus im Haus vergossen werden und welches Volumen die Produktion hat.</t>
  </si>
  <si>
    <t>https://avy.eu/company
https://siliconcanals.com/rise-techleap-avy-interview/
https://avy.eu/open-day
https://avy.homerun.co/drone-technician-2</t>
  </si>
  <si>
    <t>Infinteq GmbH</t>
  </si>
  <si>
    <t>Mülheim an der Ruhr</t>
  </si>
  <si>
    <t>Gull One E (Möwe Eins E) elektrische Aufklärungsdrohne, Ukraine</t>
  </si>
  <si>
    <t>Belegt: Mülheim an der Ruhr (Montage der GULL ONE E)
echo24 (geöffnet): Infinteq setzt die Drohne Gull One E in Mülheim zusammen, Produktionshalle erwähnt; infinteq.com bestätigt Sitz Mülheim, nennt Fertigung selbst nicht.</t>
  </si>
  <si>
    <t>Sitz, Montage in Deutschland und Drohnenbezug sind belegt (Montage nur über eine Pressequelle). Eigener Vergussbedarf ist unklar, da Integrator; P gegenüber Tom (0,5) leicht auf 0,45.
Verguss: Plausibel nur schwach: Systemintegrator/Montage, Verguss eher bei Zulieferern; kein Beleg.</t>
  </si>
  <si>
    <t>Im Gespräch klären, welche Elektronikbaugruppen Infinteq selbst fertigt oder vergießen lässt.</t>
  </si>
  <si>
    <t>https://www.infinteq.com
https://www.echo24.de/welt/deutsche-drohne-koennte-unterschied-im-kampf-gegen-putin-machen-zr-94414266.html</t>
  </si>
  <si>
    <t>AIR6 Systems GmbH</t>
  </si>
  <si>
    <t>Klagenfurt (Pharmaziegasse 5); weiterer Standort Sauerlach (DE)</t>
  </si>
  <si>
    <t>Industriedrohnen AIR4/AIR6/AIR8</t>
  </si>
  <si>
    <t>Nicht belegt: Nicht belegt (Klagenfurt oder Sauerlach offen)
air6systems.com: 'design and manufacture' Drohnen, Adressen Klagenfurt/Sauerlach/Basingstoke ohne Zuordnung der Fertigung; kein Impressum auf der Seite; Verzeichnisse beschreiben Firma als 'based in Bavaria'.</t>
  </si>
  <si>
    <t>Drohnenhersteller, aber Fertigungsort (AT oder DE) und Prozess nicht belegt; Gruppe umfasst auch UK-Einheit. Tom-P 0,45 auf 0,4 gesenkt, da nur ein Mitarbeiter in Klagenfurt ausgeschrieben ist.
Verguss: Offen: kein Beleg zu Potting; Industriedrohnen-Elektronik plausibel.</t>
  </si>
  <si>
    <t>Fertigungsstandort und Rechtseinheit (AT/DE) erfragen, bevor eine Länderzuordnung genutzt wird.</t>
  </si>
  <si>
    <t>https://air6systems.com
https://www.advantageaustria.org/ae/company/en/air6-systems-gmbh-2
https://xponential.german-pavilion.com/en/sites/exhibitors/137394</t>
  </si>
  <si>
    <t>Acecore Technologies</t>
  </si>
  <si>
    <t>Uden (Hoogstraat 8)</t>
  </si>
  <si>
    <t>Zoe M4 Quadcopter (Royal Netherlands Army)</t>
  </si>
  <si>
    <t>Nicht belegt: Uden (NL) vermutet, nicht belegt
Eigene Website (acecoretechnologies.com) nicht abrufbar (403); nur Sekundärprofile (robotics.press u.a.) nennen 'hand-built in the Netherlands' und einen einzelnen niederländischen Standort - keine Firmenquelle.</t>
  </si>
  <si>
    <t>Sitz Uden (Noord-Brabant) laut mehreren Profilen, Hersteller/Integrator belegt. Fertigung in NL nur über Drittprofile, Verguss offen und Stückzahl klein. Gegenüber Tom P auf 0,4 gesenkt, GELB an der Untergrenze.
Verguss: Offen: kundenspezifische Drohnen in Handarbeit/Kleinserie mit LiDAR/Kamera-Nutzlast, Verguss nur denkbar.</t>
  </si>
  <si>
    <t>Eigene Website/LinkedIn erneut prüfen und Fertigungsumfang erfragen, niedrige Priorität.</t>
  </si>
  <si>
    <t>https://robotics.press/companies/acecore-technologies/
https://www.startuphub.ai/startups/acecore-technologies
https://www.unmannedsystemstechnology.com/2025/04/acecore-to-supply-tactical-quadcopter-drones-for-dutch-military/</t>
  </si>
  <si>
    <t>Beyond Gravity Austria GmbH</t>
  </si>
  <si>
    <t>Wien (Stachegasse 13, 1120 Wien); Werk Berndorf (Leobersdorfer Straße 26)</t>
  </si>
  <si>
    <t>Weltraum-Elektronik/Mechanismen, GNSS-Empfaenger, Einstieg Militaertechnik</t>
  </si>
  <si>
    <t>Belegt: Berndorf (AT): thermische Isolationssysteme, Mechanismen; Wien: Elektronik nicht belegt
beyondgravity.com nennt Berndorf als Produktionsstandort für thermische Isolation; Land NÖ nennt Entwicklung und Produktion von Raumfahrtkomponenten in Berndorf, Ausbau Pointing-Mechanismen (4,5 Mio. EUR). Elektronikfertigung in Wien nur über Job-Tags (karriere.at) und FFG-Meldung, nicht belegt.</t>
  </si>
  <si>
    <t>Fertigung in AT belegt, aber Produkte (MLI-Isolation, Pointing-Mechanismen) haben nur geringe Vergussnähe; Elektronikfertigung in Wien nicht belegt. Kein Drohnen-/Humanoidbezug. Tom-Angaben bestätigt, Wien-Elektronik bleibt unbelegt.
Verguss: Offen: Berndorf fertigt Isolation und Mechanismen, kein Elektronik-/Vergussbezug belegt; Raumfahrtelektronik in Wien nur angedeutet.</t>
  </si>
  <si>
    <t>Prüfen, ob Mechanismen-Elektronik (Motoren, Sensoren) in Berndorf oder Wien vergossen wird.</t>
  </si>
  <si>
    <t>https://www.beyondgravity.com
https://www.noe.gv.at/noe/pressAnnouncement/getPdf/120601
https://www.advantageaustria.org/kr/company/en/beyond-gravity-austria-gmbh
https://www.ffg.at/presse/beyond-gravity-weltraumministerin-gewessler-besuchte-wiener-raumfahrtzulieferer-meidling</t>
  </si>
  <si>
    <t>Demcon</t>
  </si>
  <si>
    <t>Enschede (Institutenweg 50)</t>
  </si>
  <si>
    <t>Mechatronik, Entwicklung und Kleinserie</t>
  </si>
  <si>
    <t>Belegt: Enschede, Niederlande
production.demcon.com/facilities: Hauptstandort Enschede, ca. 2.500 m2 mit Protoshop, ESD-geschützter Montagehalle für kundenspezifische Montagelinien, Lager; Montage und Test.</t>
  </si>
  <si>
    <t>Fertigung (Montage/Test) in NL ist belegt, Verguss nicht. Auftragsentwickler und -fertiger für Kundenprodukte, Drohnen-/Humanoidenbezug nur indirekt (Demcon Unmanned Systems). Tom bestätigt, P 0,4 an der Grenze.
Verguss: Offen: Seite nennt keinen Verguss; bei Kleinserien-Elektronikmontage nur abgeleitet.</t>
  </si>
  <si>
    <t>Rechtliche Einheit (Demcon Production vs. Unmanned Systems) klären und nach Vergussaufträgen in der Montage fragen.</t>
  </si>
  <si>
    <t>https://production.demcon.com/facilities
https://www.nidv.eu/bedrijvengids/demcon-unmanned-systems</t>
  </si>
  <si>
    <t>ERC System (Rheinmetall-Partner)</t>
  </si>
  <si>
    <t>Ottobrunn (Einsteinstraße 32, 85521 Ottobrunn laut Lobbyregister; Erding nur Flugtestgelände)</t>
  </si>
  <si>
    <t>Victor U250 Cargo-Drohne (bis 250 kg, 300 km) mit Rheinmetall</t>
  </si>
  <si>
    <t>Nicht belegt: nicht belegt (Website: 'Designed and produced in Germany'); mögliche NRW-Fertigung nur Absichtserklärung
erc-system.com: 'Designed and produced in Germany', kein Standort; Rheinmetall/NRW-Absichtserklärung (Juni 2026) für Schwerlastdrohne, Serie ab 2028 geplant.</t>
  </si>
  <si>
    <t>Sitz Ottobrunn (GmbH, Gründung 2020) und Produkt belegt, Fertigungsort unbelegt, Serie erst 2028. Grenzfall zu ROT, wegen Gründung 2020 und Prototypenbau mit Rheinmetall-Partnerschaft GELB. Tom-Angaben bestätigt, Sitz ergänzt.
Verguss: Offen: Hybrid-Cargodrohne, Verguss nur aus Produkttyp (Elektronik, E-Antrieb) ableitbar, kein Beleg.</t>
  </si>
  <si>
    <t>Nur bei Bedarf kontaktieren: Prototyp-/Serienfertigung und Vergussbedarf erfragen, Stand 2028 beachten.</t>
  </si>
  <si>
    <t>https://www.erc-system.com
https://www.rheinmetall.com/de/media/news-watch/news/2026/06/2026-06-10-rheinmetall-erc-system-und-nrw-unterzeichnen-absichtserklaerung-fuer-schwerlastdrohne
https://www.marketscreener.com/news/aviation-start-up-accelerates-drone-series-production-to-2028-ce7f5cdad08af52d
https://www.lobbyregister.bundestag.de/media/1f/73/828870/Lobbyregister-Registereintraege-Detailansicht-R008113-2026-08-10_14-45-22.pdf</t>
  </si>
  <si>
    <t>Elettronica GmbH</t>
  </si>
  <si>
    <t>Meckenheim (Am Hambuch 10, 53340)</t>
  </si>
  <si>
    <t>Elektronische Kampfführung, C-UAS-Jamming</t>
  </si>
  <si>
    <t>Nicht belegt: Meckenheim (vermutet; Eigenentwicklung/-produktion von EW-Signalverarbeitungsgeräten laut Pressemitteilung)
Analisi Difesa 2018: Elettronica GmbH in Meckenheim 'designs and produces' EW-Signalverarbeitungsgeräte; Lobbyregister R005512: Adresse Meckenheim, Hauptkunde BAAINBw. Produktionsstandort Meckenheim nicht auf Firmenwebsite belegt (elettronica-gmbh.de nicht auflösbar).</t>
  </si>
  <si>
    <t>Korrektur an Tom (ROT auf GELB): Lobbyregister nennt für die GmbH ein 2025 gefördertes Drohnenabwehr-Projekt (IDAS-PRO) und die Pressemitteilung beschreibt Entwicklung und Fertigung von EW-Geräten; Drohnenbezug auf GmbH-Ebene ist also belegt. Fertigung in Meckenheim bleibt unbelegt, Sitz bestätigt.
Verguss: Offen: kein Beleg für Verguss; militärische EW-Elektronik grundsätzlich möglich, aber nur abgeleitet.</t>
  </si>
  <si>
    <t>Fertigung in Meckenheim per Anruf oder Messeprofil bestätigen, bevor ein Email-Autor eingebunden wird.</t>
  </si>
  <si>
    <t>https://www.lobbyregister.bundestag.de/suche/R005512
https://www.analisidifesa.it/?p=118676
https://esut.de/2020/11/fachbeitraege/23639/elettronica-gmbh-will-mit-dem-markt-wachsen/</t>
  </si>
  <si>
    <t>Germandrones GmbH</t>
  </si>
  <si>
    <t>Berlin (Verzeichnisse: Alt-Moabit 55, 10555; Impressum nicht abrufbar)</t>
  </si>
  <si>
    <t>Songbird 150 (E-Antrieb, bis ~4,4 kg Nutzlast, ~90-110 km Reichweite); Lieferungen Ukraine/Moldau; BDSV-Mitglied</t>
  </si>
  <si>
    <t>Nicht belegt: Nicht belegt ('Made in Germany' pauschal; ESUT: in Deutschland gebaut, ohne Ort)
germandrones.com: 'Precision. Made in Germany.', Hard- und Software, ISO 9001; ESUT 2024: Songbird 'in Deutschland entwickelt, programmiert und gebaut'; kein Produktionsort, Skalierung in der Ukraine laut Vorrecherche.</t>
  </si>
  <si>
    <t>Drohnenbezug (Songbird VTOL) belegt, Sitz Berlin nur über Verzeichnisse; Fertigungsort nicht genannt, Verguss nicht belegt. Gehört zur CONDOR-Gruppe (Rechtseinheit klären). Tom bestätigt, P 0,4.
Verguss: Offen: kein Beleg für Verguss.</t>
  </si>
  <si>
    <t>Impressum/Produktionsort erfragen und Vergussbedarf der Songbird-Elektronik klären.</t>
  </si>
  <si>
    <t>https://germandrones.com
https://esut.de/en/2024/05/meldungen/49409/germandrones-entwickelt-drohnen-fuer-sicherheitsanwendungen/</t>
  </si>
  <si>
    <t>Microdrones GmbH</t>
  </si>
  <si>
    <t>Siegen (Nerzweg 5, Siegen-Achenbach; Gutenbergstr. 86 F&amp;E)</t>
  </si>
  <si>
    <t>Vermessungs-/Inspektionsdrohnen (md4, mdMapper)</t>
  </si>
  <si>
    <t>Belegt: Siegen (NRW)
microdrones.com (Meldung 2018): 2.080-m2-Anlage in Siegen-Achenbach mit Produktion, Entwicklung, Einkauf; Open-House-Bericht mit Produktionsbereich (Sensormontage/-kalibrierung); Handelsregisterzweck Entwicklung und Herstellung von Flugkörpern. Quellen sind von 2018-2020, aktueller Stand nicht bestätigt.</t>
  </si>
  <si>
    <t>Sitz Siegen/NRW und Herstellung von Drohnen vor Ort sind belegt (jedoch ältere Quellen), Vergussprozess nicht. Korrektur an Tom: Fertigung am Standort Siegen ist durch die 2018er Meldung (Produktion) gedeckt, aber aktuelle Bestätigung fehlt; P 0,4.
Verguss: Offen: kein Beleg; Vermessungsdrohnen mit Sensorik/Elektronik, Verguss nur abgeleitet.</t>
  </si>
  <si>
    <t>Aktuellen Produktionsumfang in Siegen und Elektronik-/Sensorverguss telefonisch erfragen.</t>
  </si>
  <si>
    <t>https://www.microdrones.com/en/company/
https://www.microdrones.com/en/content/microdrones-expands-into-second-facility-in-siegen-germany-as-part-of-global-growth-project/
https://www.microdrones.com/en/content/new-microdrones-office-in-siegen-germany-welcomes-neighbors-to-open-house-event/</t>
  </si>
  <si>
    <t>Onberg (JV Heidelberger Druck)</t>
  </si>
  <si>
    <t>Brandenburg an der Havel (Heidelberg-Standort)</t>
  </si>
  <si>
    <t>Drohnenabwehr-Abfangdrohne 'Iron Drone' (Lizenz Airobotics/Ondas)</t>
  </si>
  <si>
    <t>Nicht belegt: Brandenburg an der Havel (geplant: Entwicklung, Montage, industrielle Skalierung)
produktion.de: Kompetenzzentrum am bestehenden Heidelberg-Standort Brandenburg an der Havel, lokalisierte Montage und Fertigung geplant; JV von HD Advanced Technologies (Heidelberg) und Ondas Autonomous Systems. Serienfertigung noch Plan, nicht belegt. Eigene Website nicht nutzbar (Domain geparkt, laut Tom; Heidelberg-PDF nicht lesbar).</t>
  </si>
  <si>
    <t>Standort in DE und Produktbezug (Drohnenabwehr) durch Presse belegt, Serienfertigung und Verguss aber noch Planung. Korrektur an Tom: fertigung_belegt false, da erst geplant; P 0,4 statt 0,45. Mögliche Verbindung zu Ondas/OAS-Systemen (Israel/USA) bei Kontakt beachten.
Verguss: Offen: kein Beleg; Drohnenabwehrsysteme (Iron Drone Raider) enthalten Elektronik, Eigenfertigungsumfang unklar.</t>
  </si>
  <si>
    <t>Später erneut prüfen, sobald Serienproduktion in Brandenburg an der Havel startet; Ansprechpartner beim Heidelberg-Standort ermitteln.</t>
  </si>
  <si>
    <t>https://www.produktion.de/ruestung-aerospace/drohnenabwehrsysteme-heidelberg-und-ondas-gruenden-onberg/2633597
https://www.heidelberg.com/global/media/en/global_media/company___press_lounge/press_kits_1/2026_press_kits/onberg/20260414-press-release.pdf</t>
  </si>
  <si>
    <t>Thales Nederland B.V.</t>
  </si>
  <si>
    <t>Hengelo</t>
  </si>
  <si>
    <t>Radar, Sensor, Naval</t>
  </si>
  <si>
    <t>Belegt: Hengelo, Niederlande
Thales/Defensie.nl/Bits&amp;Chips 06/2026: Ausbau von Radar-, Antennen- und komplexer PCB-Produktion in Hengelo, Antennenausstoß +60 % 2025-2028; Janes 2024: Radarproduktion verdreifacht.</t>
  </si>
  <si>
    <t>Fertigung in NL ist gut belegt, Produktbezug nur Radar/Detektion (kein Drohnenhersteller). Verguss unbelegt, Konzernstruktur mit wahrscheinlich zentralem Einkauf; Tom bestätigt, P 0,4 an der Grenze zu ROT.
Verguss: Offen: kein Beleg für Verguss oder Kapselung; bei Radarmodulen und Antennen nur abgeleitet.</t>
  </si>
  <si>
    <t>Nur nach Priorisierung kontaktieren: Fertigungsleitung Hengelo zu Verguss/Kapselung der Radarmodule anfragen.</t>
  </si>
  <si>
    <t>https://bits-chips.com/article/thales-nl-expands-radar-system-production-and-test-capacity/
https://defensie.nl/actueel/nieuws/2026/06/22/defensie-en-thales-maken-ruim-baan-voor-productie-en-ontwikkeling-radarcapaciteit
https://www.thalesgroup.com/en/news-centre/press-releases/thales-and-dutch-ministry-defence-sign-strategic-partnership-expand</t>
  </si>
  <si>
    <t>Volocopter (Technologies)</t>
  </si>
  <si>
    <t>Bruchsal</t>
  </si>
  <si>
    <t>eVTOL VoloCity/VoloXPro (Zulassung Ende 2026/2027 erwartet, Firmenangabe)</t>
  </si>
  <si>
    <t>Belegt: Bruchsal (BW), Deutschland
Presse 2023 (electrive): Fertigungshangar Bruchsal; Newsroom volocopter.com 30.01.2026: Produktion wird hochgefahren, Lieferkette neu aufgestellt, Zulieferteile verspätet; Bruchsal bleibt Sitz nach Übernahme durch Diamond Aircraft (Wiener Neustadt, AT)/Wanfeng. Kein aktueller Adress- oder Werksbeleg auf der Startseite.</t>
  </si>
  <si>
    <t>Sitz und Fertigung Bruchsal durch Presse und Firmenmitteilung 2026 gestützt, Produkt belegt. Verguss abgeleitet, Passagier-eVTOL ohne Drohnenfokus, Lieferantenumbau; daher GELB mit niedriger Priorität. Eigentümer Diamond (AT), Einheit vor Kontakt klären.
Verguss: Plausibel (abgeleitet): eVTOL mit Batterie-, Antriebs- und Elektronikkomponenten, Zulieferstruktur im Umbau; kein Beleg für Verguss.</t>
  </si>
  <si>
    <t>Niedrige Priorität; Zuständigen für Batterie-/Elektronikfertigung in Bruchsal ermitteln.</t>
  </si>
  <si>
    <t>https://www.volocopter.com
https://www.volocopter.com/newsroom/VC-has-completed-optimizing-its-supply-chain
https://www.electrive.com/2023/04/06/volocopter-is-ready-to-kick-off-production-in-bruchsal
https://www.compositesworld.com/news/diamond-aircraft-acquires-volocopter-after-insolvency</t>
  </si>
  <si>
    <t>fruitcore robotics GmbH</t>
  </si>
  <si>
    <t>Konstanz (Macairestraße 3, 78467)</t>
  </si>
  <si>
    <t>Industrie-Humanoid PLEXA One (angekündigt 5.5.2026), basiert auf HORST600/800 G2 Armen.</t>
  </si>
  <si>
    <t>Belegt: Konstanz (Entwicklung, Teile der Produktion) und Villingen-Schwenningen (Technologiepark, Am Krebsgraben 15; HORST-Fertigung seit 2020)
industrial-production.de: Villingen-Schwenningen +1.000 m² Produktionsfläche, Konstanz behält Entwicklung und Teile der Produktion. PLEXA One: Fertigungsort nicht benannt (angekündigt 05.05.2026, Verfügbarkeit 'later this year').</t>
  </si>
  <si>
    <t>Roboterfertigung (HORST) in DE belegt, Humanoid PLEXA One angekündigt, dessen Fertigung und Verguss aber nicht belegt. Tom bestätigt, P 0,4.
Verguss: Offen: kein Beleg; Roboterarm-/Humanoid-Antriebselektronik möglich, aber nicht belegt.</t>
  </si>
  <si>
    <t>Nach Vergussbedarf in Gelenk-/Antriebselektronik des PLEXA One fragen.</t>
  </si>
  <si>
    <t>https://www.industrial-production.de/hrc---cobots/horst-robot-needs-more-space.htm
https://www.fruitcore-robotics.com/en/horstblog-news/industrial-humanoid-platform
https://www.automate.org/robotics/news/plexa-one-fruitcore-robotics-brings-industrial-humanoids-into-production</t>
  </si>
  <si>
    <t>CLD Germany</t>
  </si>
  <si>
    <t>nicht verifiziert</t>
  </si>
  <si>
    <t>Nicht geprüft (Rot: CRM, Randfall oder P &lt; 40 %)</t>
  </si>
  <si>
    <t>Lohnverguss Polyurethan, Formenbau</t>
  </si>
  <si>
    <t>Selbstdarstellung: Lohnverguss PU, automatisierte Linien</t>
  </si>
  <si>
    <t>Bereits im CRM, Neuakquise entfällt (nur Lead-Ergänzung, Zuständigkeit klären). Lohnverguss-Anbieter</t>
  </si>
  <si>
    <t>CRM-Treffer: CLD Germany GmbH</t>
  </si>
  <si>
    <t>Keine Neuakquise</t>
  </si>
  <si>
    <t>https://www.wlw.de/de/suche/vergussmassen-fuer-die-elektrotechnik
https://www.cld-germany.de/de/dienstleistungen/polyurethan</t>
  </si>
  <si>
    <t>ENDIN GmbH</t>
  </si>
  <si>
    <t>Lohnverguss, Dosieranlagen</t>
  </si>
  <si>
    <t>Selbstdarstellung Lohnfertigung</t>
  </si>
  <si>
    <t>Bereits im CRM, Neuakquise entfällt (nur Lead-Ergänzung, Zuständigkeit klären). Lohnverguss + Dosiertechnik</t>
  </si>
  <si>
    <t>CRM-Treffer: endin GmbH</t>
  </si>
  <si>
    <t>https://endin.eu/en/lohnfertigung/vergussmasse-elektronik/</t>
  </si>
  <si>
    <t>Vergussguru UG</t>
  </si>
  <si>
    <t>Beratung + Lohnverguss Kleinserien</t>
  </si>
  <si>
    <t>Selbstdarstellung: Kleinserien</t>
  </si>
  <si>
    <t>CRM-Treffer: Vergussguru UG</t>
  </si>
  <si>
    <t>https://www.vergussguru.de/</t>
  </si>
  <si>
    <t>Diehl Defence</t>
  </si>
  <si>
    <t>Überlingen</t>
  </si>
  <si>
    <t>IRIS-T, Counter-UAS (Sky Sphere, KDV, CICADA)</t>
  </si>
  <si>
    <t>Ja: Hauptsitz/Erweiterungsbau Überlingen (Fertigung Lenkflugkörper)</t>
  </si>
  <si>
    <t>Bereits im CRM, Neuakquise entfällt (nur Lead-Ergänzung, Zuständigkeit klären). abgeleitet aus Produkttyp: Lenkflugkörper/Effektoren mit Sensor-/Zünderelektronik, Wärme/Schock -&gt; Verguss in Serie typisch.</t>
  </si>
  <si>
    <t>CRM-Treffer (Kurzform/Konzern): Diehl</t>
  </si>
  <si>
    <t>https://defence-network.com/diehl-drohnenabwehr-erfolgreich-getestet/
https://militaeraktuell.at/diehl-defence-grundstein-fuer-erweiterungsbau/</t>
  </si>
  <si>
    <t>HW Systemtechnik</t>
  </si>
  <si>
    <t>Lackieren+Vergießen Baugruppen (EMS)</t>
  </si>
  <si>
    <t>Selbstdarstellung</t>
  </si>
  <si>
    <t>Bereits im CRM, Neuakquise entfällt (nur Lead-Ergänzung, Zuständigkeit klären). Lohnverguss + EMS</t>
  </si>
  <si>
    <t>CRM-Treffer: HW Systemtechnik</t>
  </si>
  <si>
    <t>https://www.hw-systemtechnik.de/verguss-lackierung.html</t>
  </si>
  <si>
    <t>Rheinmetall AG</t>
  </si>
  <si>
    <t>Düsseldorf</t>
  </si>
  <si>
    <t>FV-014 Loitering Munition, Skyranger-Flugabwehr, Cargo-Drohne</t>
  </si>
  <si>
    <t>Ja laut Hersteller: FV-014 'fully manufactured in the EU'; ERC-Frachtdrohne NRW geplant</t>
  </si>
  <si>
    <t>Bereits im CRM, Neuakquise entfällt (nur Lead-Ergänzung, Zuständigkeit klären). abgeleitet aus Produkttyp: Großserie Munition/Zünder/Elektronik und Drohnen; Verguss (Zünder, Sensoren, Akku) hoch plausibel; Konzern mit eigener Fertigung/Lieferkette.</t>
  </si>
  <si>
    <t>CRM-Treffer: Rheinmetall</t>
  </si>
  <si>
    <t>https://www.janes.com/osint-insights/defence-news/air/bundeswehr-orders-fv-014-loitering-munition-from-rheinmetall
https://www.onvista.de/news/2026/06-10-rheinmetall-mercedes-und-heideldruck-kooperieren-mit-drohnen-startups-0-20-26520570</t>
  </si>
  <si>
    <t>Dr. Fritz Faulhaber GmbH &amp; Co. KG</t>
  </si>
  <si>
    <t>Schönaich</t>
  </si>
  <si>
    <t>Mikro-Motoren, Getriebe, Encoder, Antriebselektronik.</t>
  </si>
  <si>
    <t>Sitz Schönaich; Fertigungsort Schönaich in den gefundenen Quellen nicht ausdrücklich belegt</t>
  </si>
  <si>
    <t>Bereits im CRM, Neuakquise entfällt (nur Lead-Ergänzung, Zuständigkeit klären). Faulhaber bewirbt BXI-Motoren (9317 BXI G, bis 20 Nm, eisenhaltige Wicklung) für Gelenkantriebe in Humanoiden; Wicklungsprozess/Verguss nicht belegt, aus Produkttyp aber hoch plausibel.</t>
  </si>
  <si>
    <t>CRM-Treffer: Dr. Fritz Faulhaber GmbH &amp; Co. KG</t>
  </si>
  <si>
    <t>https://www.medteclive.com/en/c/precise-faulhaber-drives-for-humanoid-robots.65664
https://wileyindustrynews.com/en/contributions/powerful-in-operation-intelligent-in-collaboration</t>
  </si>
  <si>
    <t>Quantum Systems</t>
  </si>
  <si>
    <t>Gilching (Raum München)</t>
  </si>
  <si>
    <t>Senkrechtstarter-Aufklärungsdrohnen (Vector, Trinity, Twister) für Bundeswehr/Ukraine</t>
  </si>
  <si>
    <t>Ja (belegt): Montage Gilching; Bericht ~120 Einheiten/Monat in DE; Werke auch Ukraine, UK, USA, AU, RO, LT; übernahm Spleenlab (Jena) und AirRobot</t>
  </si>
  <si>
    <t>Bereits im CRM, Neuakquise entfällt (nur Lead-Ergänzung, Zuständigkeit klären). abgeleitet aus Produkttyp: Flugsteuerung, Motorcontroller, Akku-/Sensorelektronik; Outdoor/Feuchte -&gt; Verguss/Conformal Coating von PCBA plausibel, Serienfertigung wächst. Selbst oder extern.</t>
  </si>
  <si>
    <t>CRM-Treffer: Quantum Systems</t>
  </si>
  <si>
    <t>https://www.business-punk.com/?p=230058
https://www.trendingtopics.eu/quantum-systems-abfangdrohnen-ukraine-deutschland/
https://career.quantum-systems.com/o/techniker-produktion-elektronik-fertigung-mfd-4-9?lang=en</t>
  </si>
  <si>
    <t>FAULHABER</t>
  </si>
  <si>
    <t>Tina geprüft (Websuche 08.10.2026)</t>
  </si>
  <si>
    <t>Mikro-/BLDC-Motoren (Robotik)</t>
  </si>
  <si>
    <t>Bereits im CRM, Neuakquise entfällt. Dr. Fritz Faulhaber GmbH &amp; Co. KG: Sitz und Hauptfertigung in Schönaich laut mehreren Verzeichnissen belegt; Antriebe für Humanoide laut Firmen- und Fachpresse belegt. Verguss (Wicklung/Elektronik) nur aus Produkttyp abgeleitet, daher Grenze P 75.
Nicht verwenden: Vergussprozess (nur abgeleitet); Mitarbeiterzahlen (1.600/1.900/2.300 widersprüchlich); Anteil der in DE gefertigten Humanoiden-Antriebe</t>
  </si>
  <si>
    <t>CRM-Treffer (Kurzform): Dr. Fritz Faulhaber GmbH &amp; Co. KG</t>
  </si>
  <si>
    <t>https://www.chemie.de/firmen/2046/dr-fritz-faulhaber-gmbh-co-kg.html
https://www.medteclive.com/en/c/precise-faulhaber-drives-for-humanoid-robots.65664
https://www.produktion.de/bahnbrechende-antriebstechnik-hightech-made-by-faulhaber/antriebstechnik-fuer-humanoide-roboter/2609501</t>
  </si>
  <si>
    <t>Helsing</t>
  </si>
  <si>
    <t>KI-Verteidigungssoftware, HX-2 Kamikazedrohne, CA-1 Europa, Seeunterwasserdrohnen</t>
  </si>
  <si>
    <t>Ja (belegt): Resilience Factory RF-1 in Süddeutschland (genauer Ort geheim), &gt;1.000 HX-2/Monat Anfangskapazität; Grob Aircraft (Tussenhausen-Mattsies) übernommen</t>
  </si>
  <si>
    <t>Bereits im CRM, Neuakquise entfällt (nur Lead-Ergänzung, Zuständigkeit klären). abgeleitet aus Produkttyp: Loitering Munition HX-2 mit Elektronik, Motor, Akku, Zünd-/Sensorik -&gt; Verguss wahrscheinlich, Fertigungsort teils extern/Partner.</t>
  </si>
  <si>
    <t>CRM-Treffer: Helsing GmbH</t>
  </si>
  <si>
    <t>https://esut.de/2026/07/meldungen/72770/helsing-resilience-factory-die-erste-in-den-usa/
https://news.liga.net/en/amp/war/news/nyt-secret-drone-manufacturing-plant-for-ukraine-launched-in-germany
https://dronexl.co/2026/01/27/helsing-stark-rheinmetall-loitering-munition</t>
  </si>
  <si>
    <t>Hensoldt</t>
  </si>
  <si>
    <t>Taufkirchen</t>
  </si>
  <si>
    <t>Radar/Sensorik, Counter-UAS-Sensorik, Elektronik</t>
  </si>
  <si>
    <t>Ja (belegt): Ulm, Radar-Kapazität x5, ab 2027 ca. 1.000 Kleinradare/Jahr; MoU mit Tytan (Bayern), Partnerschaft mit Avilus</t>
  </si>
  <si>
    <t>Bereits im CRM, Neuakquise entfällt (nur Lead-Ergänzung, Zuständigkeit klären). abgeleitet aus Produkttyp: Hochfrequenz-/Radarmodule, Leistungselektronik -&gt; Verguss/Gap Filler plausibel; bei Umsatz 1,85 Mrd EUR 2023 hohes Volumen.</t>
  </si>
  <si>
    <t>CRM-Treffer (Kurzform/Konzern): Hensoldt Sensors</t>
  </si>
  <si>
    <t>https://www.produktion.de/ruestung-aerospace/hensoldt-und-tytan-starten-kooperation-bei-drohnenabwehr/2593724
https://defence-network.com/hensoldt-avilus-neue-aufklaerungsdrohnen/</t>
  </si>
  <si>
    <t>maxon motor (Standort Deutschland)</t>
  </si>
  <si>
    <t>Sexau</t>
  </si>
  <si>
    <t>DC-/BLDC-Motoren, Getriebe, Positioniersteuerungen, Aktuatoren für Robotik.</t>
  </si>
  <si>
    <t>Produktionsstandorte Sachseln (CH), Sexau (DE), Veszprém (HU) (Geschäftsbericht, Stand 2010, ggf. veraltet)</t>
  </si>
  <si>
    <t>Bereits im CRM, Neuakquise entfällt (nur Lead-Ergänzung, Zuständigkeit klären). Eigene eisenlose Wicklungen/EC-i Motoren; maxon nennt Motoren in humanoiden Robotern (HOPE-Prototyp mit EC-i und eigenen Controllern); Minderheitsbeteiligung an Synapticon 2025. Verguss/Imprägnierung plausibel, konkreter Prozess nicht belegt.</t>
  </si>
  <si>
    <t>CRM-Treffer: Maxon Motor</t>
  </si>
  <si>
    <t>https://www.industrial-production.de/wirtschaft---unternehmen/maxon-geht-gestaerkt-aus-der-krise.htm
https://www.maxongroup.com/maxon/view/news/More-than-a-100-square-meters-of-high-tech
https://app.dealroom.co/news/feed/maxon-invests-in-synapticon-for-robotics</t>
  </si>
  <si>
    <t>Diehl Defence / Diehl Energy Products</t>
  </si>
  <si>
    <t>Röthenbach a.d. Pegnitz</t>
  </si>
  <si>
    <t>Thermalbatterien, Batterie-Packs, Lithium-Reservebatterien; Defence</t>
  </si>
  <si>
    <t>Beleg: Batterieproduktion am Standort ausgebaut (Quelle)</t>
  </si>
  <si>
    <t>Bereits im CRM, Neuakquise entfällt (nur Lead-Ergänzung, Zuständigkeit klären). Kundenspezifische Packs/Zünderbatterien: Verguss plausibel</t>
  </si>
  <si>
    <t>https://esut.de/2024/02/meldungen/47697/diehl-defence-baut-batterieproduktion-aus/</t>
  </si>
  <si>
    <t>Dunkermotoren (AMETEK)</t>
  </si>
  <si>
    <t>Bonndorf</t>
  </si>
  <si>
    <t>BLDC-Motoren, Getriebemotoren, Servoantriebe.</t>
  </si>
  <si>
    <t>Hauptwerk Bonndorf, weitere Werke China und Serbien (Subotica)</t>
  </si>
  <si>
    <t>Bereits im CRM, Neuakquise entfällt (nur Lead-Ergänzung, Zuständigkeit klären). BLDC-/DC-Motoren mit integrierter Leistungs-/Logikelektronik, Getriebe, Encoder; Robotik/AMR-Bezug belegt, Humanoid nicht belegt.</t>
  </si>
  <si>
    <t>CRM-Treffer: Dunkermotoren GmbH</t>
  </si>
  <si>
    <t>https://www.computer-automation.de/antriebe/dunkermotoren-auf-dem-weg-zum-systempartner.htm
https://www.computer-automation.de/antriebe/ametek-uebernimmt-dunkermotoren.htm</t>
  </si>
  <si>
    <t>R. STAHL</t>
  </si>
  <si>
    <t>Künzelsau (nicht verifiziert)</t>
  </si>
  <si>
    <t>Bereits im CRM, Neuakquise entfällt (nur Lead-Ergänzung, Zuständigkeit klären). Ableitung aus Produkttyp; Hintergrundwissen, keine Quelle geprüft</t>
  </si>
  <si>
    <t>CRM-Treffer (Kurzform/Konzern): R. STAHL Aktiengesellschaft</t>
  </si>
  <si>
    <t>–</t>
  </si>
  <si>
    <t>Tecnotion B.V.</t>
  </si>
  <si>
    <t>Almelo</t>
  </si>
  <si>
    <t>Linear-, Torque-, Vakuummotoren</t>
  </si>
  <si>
    <t>Ja: Almelo (Hersteller)</t>
  </si>
  <si>
    <t>Bereits im CRM, Neuakquise entfällt. Eigene Motoren mit Spulen: Vergussspulen (Epoxid) ueblich, nicht verifiziert.</t>
  </si>
  <si>
    <t>CRM-Treffer: Tecnotion</t>
  </si>
  <si>
    <t>https://www.geartechnology.com/companies/tecnotion-bv
https://www.automate.org/motion-control/news/to-complete-the-circle-curved-magnet-track/aph</t>
  </si>
  <si>
    <t>Atlas Elektronik</t>
  </si>
  <si>
    <t>Bremen</t>
  </si>
  <si>
    <t>Unbemannte Unterwasser-/Überwasserfahrzeuge, Sonar</t>
  </si>
  <si>
    <t>Sitz Bremen belegt (Konzern TKMS); Fertigung unbemannter Fahrzeuge (z. B. SeaFox) plausibel, nicht ausdrücklich belegt</t>
  </si>
  <si>
    <t>Bereits im CRM, Neuakquise entfällt (nur Lead-Ergänzung, Zuständigkeit klären). abgeleitet aus Produkttyp: Druckfeste Elektronik/Sonar; Verguss plausibel.</t>
  </si>
  <si>
    <t>CRM-Treffer: ATLAS ELEKTRONIK GmbH</t>
  </si>
  <si>
    <t>https://www.globaldata.com/company-profile/atlas-elektronik-gmbh/</t>
  </si>
  <si>
    <t>Bühler Motor</t>
  </si>
  <si>
    <t>Nürnberg</t>
  </si>
  <si>
    <t>BLDC-/DC-Motoren, Pumpen.</t>
  </si>
  <si>
    <t>nicht verifiziert (Wissensstand, keine Webprüfung in dieser Recherche)</t>
  </si>
  <si>
    <t>Bereits im CRM, Neuakquise entfällt (nur Lead-Ergänzung, Zuständigkeit klären). Motorwicklung/Elektronik; Verguss plausibel.</t>
  </si>
  <si>
    <t>CRM-Treffer: Bühler Motor GmbH</t>
  </si>
  <si>
    <t>https://www.buehlermotor.de</t>
  </si>
  <si>
    <t>Kollmorgen Europe</t>
  </si>
  <si>
    <t>Ratingen</t>
  </si>
  <si>
    <t>Servomotoren, Frameless-Motoren.</t>
  </si>
  <si>
    <t>Bereits im CRM, Neuakquise entfällt (nur Lead-Ergänzung, Zuständigkeit klären). Rahmenlose Motoren, Wicklung; Verguss plausibel.</t>
  </si>
  <si>
    <t>CRM-Treffer: KOLLMORGEN Europe GmbH</t>
  </si>
  <si>
    <t>https://www.kollmorgen.com</t>
  </si>
  <si>
    <t>Kontron Austria / Electronics² (Standorte Ebbs, Engerwitzdorf)</t>
  </si>
  <si>
    <t>Ebbs / Engerwitzdorf</t>
  </si>
  <si>
    <t>EMS/ODM Elektronik</t>
  </si>
  <si>
    <t>Ja: ODM/EMS-Standorte Ebbs und Engerwitzdorf (Kontron-Broschuere)</t>
  </si>
  <si>
    <t>Bereits im CRM, Neuakquise entfällt. EMS mit Coating/Verguss typisch; konkrete Verguss-Kapazitaet nicht verifiziert.</t>
  </si>
  <si>
    <t>CRM-Treffer: Kontron AG</t>
  </si>
  <si>
    <t>https://kontron.com/landingpages/electronica/kontron-odm-ems-alliance-broschuere-2023-08-de.pdf
https://circuitsassembly.com/ca/editorial/menu-news/34491-kontron-bundles-ems-odm-manufacturing-companies-within-europe.html</t>
  </si>
  <si>
    <t>Nanotec Electronic</t>
  </si>
  <si>
    <t>Feldkirchen</t>
  </si>
  <si>
    <t>Schritt-/BLDC-Motoren, Servoantriebe, Steuerungen.</t>
  </si>
  <si>
    <t>Firmensitz Feldkirchen seit 2011 mit Entwicklung, Fertigung, Vertrieb unter einem Dach; Erweiterungsbau 2018 (Pressemitteilung)</t>
  </si>
  <si>
    <t>Bereits im CRM, Neuakquise entfällt (nur Lead-Ergänzung, Zuständigkeit klären). Eigene Motoren/Controller (EC-Motoren, z.B. DB80 für Servicerobotik); Humanoid-Bezug nicht belegt. Verguss plausibel aus Produkttyp.</t>
  </si>
  <si>
    <t>CRM-Treffer: Nanotec Electronic GmbH &amp; Co. KG</t>
  </si>
  <si>
    <t>https://nanotec.com/fileadmin/files/Pressemitteilungen/PM_2018_12_Erweiterungsbau.docx</t>
  </si>
  <si>
    <t>Neways Electronics International N.V.</t>
  </si>
  <si>
    <t>Son</t>
  </si>
  <si>
    <t>EMS, Box-Build, Kabel (Thales-Partnerschaft 02/2026)</t>
  </si>
  <si>
    <t>Ja: NL-Standorte (u.a. Son), weitere in Europa/Asien</t>
  </si>
  <si>
    <t>Bereits im CRM, Neuakquise entfällt. EMS mit Box-Build, Verguss plausibel.</t>
  </si>
  <si>
    <t>CRM-Treffer: Neways Electronics</t>
  </si>
  <si>
    <t>https://bitscale.ai/directory/neways-electronics-international-nv
https://mtsprout.nl/ranglijst/de-maakindustrie-100-van-2017/63-neways</t>
  </si>
  <si>
    <t>Plettenberg Elektromotoren</t>
  </si>
  <si>
    <t>nicht verifiziert (Niedersachsen laut Hintergrundwissen)</t>
  </si>
  <si>
    <t>BLDC Innen-/Außenläufer-Drohnenmotoren, kundenspezifisch</t>
  </si>
  <si>
    <t>Beleg: Fertigung in DE, ISO 9001 (Quelle)</t>
  </si>
  <si>
    <t>Bereits im CRM, Neuakquise entfällt (nur Lead-Ergänzung, Zuständigkeit klären). Eigene Wicklungen/Stator; Schutzart/Gehäuse-Anpassung genannt -&gt; Wicklungsverguss/Imprägnierung plausibel</t>
  </si>
  <si>
    <t>CRM-Treffer: Plettenberg Elektromotoren GmbH &amp; Co. KG</t>
  </si>
  <si>
    <t>https://www.unmannedsystemstechnology.com/company/plettenberg/</t>
  </si>
  <si>
    <t>Zollner Elektronik</t>
  </si>
  <si>
    <t>Zandt (nicht verifiziert)</t>
  </si>
  <si>
    <t>EMS, Verguss im Portfolio möglich</t>
  </si>
  <si>
    <t>CRM-Treffer (Kurzform/Konzern): Zollner</t>
  </si>
  <si>
    <t>cms electronics gmbh</t>
  </si>
  <si>
    <t>Klagenfurt</t>
  </si>
  <si>
    <t>EMS, Conformal Coating, Vakuumloeten; IATF/ISO13485/TISAX</t>
  </si>
  <si>
    <t>Ja: AT-Standort (AT, DE, HU)</t>
  </si>
  <si>
    <t>Bereits im CRM, Neuakquise entfällt. EMS mit Conformal Coating; Verguss plausibel, nicht ausdruecklich belegt.</t>
  </si>
  <si>
    <t>CRM-Treffer: Cms Electronics</t>
  </si>
  <si>
    <t>https://www.wirtschaftsforum.de/cms-electronics-gmbh
https://www.advantageaustria.org/cz/company/de/cms-electronics-gmbh-2</t>
  </si>
  <si>
    <t>Agile Robots SE</t>
  </si>
  <si>
    <t>Robotersysteme, Franka-Arme, Kraft-Momenten-Sensorik, Humanoid-Entwicklung.</t>
  </si>
  <si>
    <t>Humanoid Agile ONE: Serienfertigung ab 2026 in eigenem neuen Werk in Bayern (Ort in Quellen nicht genannt); Franka-Roboter werden am Agile-Standort Kaufbeuren gefertigt (franka.de). Gersthofen nicht belegt.</t>
  </si>
  <si>
    <t>Bereits im CRM, Neuakquise entfällt (nur Lead-Ergänzung, Zuständigkeit klären). Eigenfertigung 'aller Produkte' angekündigt (logistik-heute), Gelenke mit Drehmomentsensorik/Elektronik; Verguss plausibel, konkrete Prozesse nicht belegt.</t>
  </si>
  <si>
    <t>CRM-Treffer: Agile Robots SE</t>
  </si>
  <si>
    <t>https://www.agile-robots.com/de/news/detail/agile-robots-produziert-industriellen-humanoiden-roboter-agile-one-ab-2026-in-deutschland/
https://logistik-heute.de/en/news/artificial-intelligence-agile-robots-brings-humanoid-robot-serial-production-germany-235755.html
https://franka.de/news/agile-robots-ramps-up-production-of-franka-robots-in-kaufbeuren</t>
  </si>
  <si>
    <t>Eben Elektronik</t>
  </si>
  <si>
    <t>Petershausen</t>
  </si>
  <si>
    <t>EMS: Entwicklung bis Endmontage mit Schutzbeschichtung</t>
  </si>
  <si>
    <t>Beleg: 'made in Germany' EMS (Quelle)</t>
  </si>
  <si>
    <t>Bereits im CRM, Neuakquise entfällt (nur Lead-Ergänzung, Zuständigkeit klären). EMS mit Schutzbeschichtung; Verguss als Zusatz plausibel</t>
  </si>
  <si>
    <t>CRM-Treffer: Eben Elektronik GmbH</t>
  </si>
  <si>
    <t>https://www.it-in-germany.de/09082227/deu/Leiterplattenbestückung und Leiterplattenprüfung</t>
  </si>
  <si>
    <t>Phytron GmbH</t>
  </si>
  <si>
    <t>Gröbenzell</t>
  </si>
  <si>
    <t>Schrittmotoren, Controller.</t>
  </si>
  <si>
    <t>Bereits im CRM, Neuakquise entfällt (nur Lead-Ergänzung, Zuständigkeit klären). Motoren/Elektronik; Verguss plausibel.</t>
  </si>
  <si>
    <t>CRM-Treffer: Phytron GmbH</t>
  </si>
  <si>
    <t>https://www.phytron.de</t>
  </si>
  <si>
    <t>Robert Bosch GmbH (Werk Bühl)</t>
  </si>
  <si>
    <t>Gerlingen (Konzern); Werk Bühl</t>
  </si>
  <si>
    <t>Auftragsfertiger humanoider Roboter; prüft Bosch-Aktoren, Motoren, Sensoren; Hand-Entwicklung mit Schunk; Kooperation mit Neura (Jan 2026, eine Quelle).</t>
  </si>
  <si>
    <t>Ab 2027 (laut einer Quelle August 2027) Auftragsfertigung der Humanoid-(UK)-Roboter in Bühl im Schwarzwald; Werk fertigt bisher Fensterheber und Mikromotoren (Sprecher via dpa)</t>
  </si>
  <si>
    <t>Bereits im CRM, Neuakquise entfällt (nur Lead-Ergänzung, Zuständigkeit klären). Bühl fertigt Mikromotoren; Integration eigener Aktoren/Motoren/Sensoren in Humanoide wird geprüft (nicht bestätigt). Verguss plausibel.</t>
  </si>
  <si>
    <t>CRM-Treffer: Robert Bosch</t>
  </si>
  <si>
    <t>https://logistik-heute.de/news/humanoide-roboter-bosch-startet-2027-produktion-im-schwarzwald-280027.html
https://www.produktion.de/wirtschaft/humanoide-roboter-bosch-startet-fertigung-in-buehl/2724314</t>
  </si>
  <si>
    <t>Schaeffler AG</t>
  </si>
  <si>
    <t>Herzogenaurach</t>
  </si>
  <si>
    <t>Lager, Aktuatoren/Antriebe, designierter Aktuatorlieferant für humanoide Roboter.</t>
  </si>
  <si>
    <t>Konkretes Werk für Aktuatorfertigung nicht genannt; Humanoid-Einsatz in zwei Schaeffler-Werken in DE ab Dez 2026-Jun 2027; Hermes Award 2026 Hannover Messe für Aktuatorplattform</t>
  </si>
  <si>
    <t>Bereits im CRM, Neuakquise entfällt (nur Lead-Ergänzung, Zuständigkeit klären). Partner von Humanoid (UK, bevorzugter Aktuatorlieferant radgestützt) und Neura; serienfähige hochintegrierte Aktuatorplattform; Verguss von Motor/Elektronik plausibel, Prozess nicht belegt.</t>
  </si>
  <si>
    <t>CRM-Treffer: Schaeffler</t>
  </si>
  <si>
    <t>https://www.industrial-production.de/industrieroboter/schaeffler-gewinnt-den-hermes-award-2026-mit-aktuatorplattform-fuer-humanoide-robotik.htm
https://www.computer-automation.de/robotics-en/humanoid-robots-in-industry--schaeffler-cooperates-with-humanoid.htm
https://logistik-heute.de/en/news/physical-ai-schaeffler-and-neura-robotics-collaborate-humanoid-robots-233371.html</t>
  </si>
  <si>
    <t>VIERLING Production</t>
  </si>
  <si>
    <t>Ebermannstadt</t>
  </si>
  <si>
    <t>EMS, Entwicklung, Baugruppen, Geräte</t>
  </si>
  <si>
    <t>Beleg: EMS-Anbieter SMT/THT (Quelle)</t>
  </si>
  <si>
    <t>Bereits im CRM, Neuakquise entfällt (nur Lead-Ergänzung, Zuständigkeit klären). Komplette Geräte/Baugruppen; Verguss plausibel</t>
  </si>
  <si>
    <t>CRM-Treffer: VIERLING Production GmbH</t>
  </si>
  <si>
    <t>BLOCK Transformatoren-Elektronik</t>
  </si>
  <si>
    <t>Verden</t>
  </si>
  <si>
    <t>Transformatoren, Netzteile, Drosseln, EMV-Filter</t>
  </si>
  <si>
    <t>Bereits im CRM, Neuakquise entfällt (nur Lead-Ergänzung, Zuständigkeit klären). Vergossene Netzteile/Trafos Produktportfolio plausibel</t>
  </si>
  <si>
    <t>CRM-Treffer: BLOCK Transformatoren-Elektronik GmbH</t>
  </si>
  <si>
    <t>https://www.wirtschaftsforum.de/kuk-electronic-ag</t>
  </si>
  <si>
    <t>Balluff GmbH</t>
  </si>
  <si>
    <t>Neuhausen a.d.F.</t>
  </si>
  <si>
    <t>Sensorik, Wegmessung.</t>
  </si>
  <si>
    <t>Bereits im CRM, Neuakquise entfällt (nur Lead-Ergänzung, Zuständigkeit klären). Sensorverguss üblich.</t>
  </si>
  <si>
    <t>CRM-Treffer: Balluff GmbH</t>
  </si>
  <si>
    <t>https://www.balluff.com</t>
  </si>
  <si>
    <t>GT elektronik</t>
  </si>
  <si>
    <t>Wickelgüter, Spulen, Drosseln, Trafos</t>
  </si>
  <si>
    <t>Produktion DE/Indien/Rumänien (Stellenanzeige)</t>
  </si>
  <si>
    <t>Bereits im CRM, Neuakquise entfällt (nur Lead-Ergänzung, Zuständigkeit klären). Wickelgüter -&gt; Verguss plausibel; Teilfertigung im Ausland</t>
  </si>
  <si>
    <t>CRM-Treffer: GT elektronik GmbH &amp; Co. KG</t>
  </si>
  <si>
    <t>https://gt-elektronik.de/0_uploads/gt_elektronik_relaunch/karriere/stellenausschreibung-konstrukteurentwickler.pdf</t>
  </si>
  <si>
    <t>Hanning Elektro-Werke</t>
  </si>
  <si>
    <t>Oerlinghausen (nicht verifiziert)</t>
  </si>
  <si>
    <t>Motoren, Pumpen</t>
  </si>
  <si>
    <t>CRM-Treffer: Hanning Elektro-Werke</t>
  </si>
  <si>
    <t>Magnetic Innovations B.V.</t>
  </si>
  <si>
    <t>Veldhoven</t>
  </si>
  <si>
    <t>Servomotoren</t>
  </si>
  <si>
    <t>Hersteller laut Branchenverzeichnis (nicht verifiziert)</t>
  </si>
  <si>
    <t>Bereits im CRM, Neuakquise entfällt. Servomotoren: Wicklung/Verguss plausibel.</t>
  </si>
  <si>
    <t>CRM-Treffer: MAGNETIC INNOVATIONS</t>
  </si>
  <si>
    <t>https://www.globalspec.com/local/53/C_NL</t>
  </si>
  <si>
    <t>Miba AG (Miba Battery Systems / Voltlabor)</t>
  </si>
  <si>
    <t>Laakirchen</t>
  </si>
  <si>
    <t>Batteriesysteme, Antriebs-/Sinter-/Reibkomponenten</t>
  </si>
  <si>
    <t>Ja: Batteriewerk Bad Leonfelden (Voltfactory), 3.900 m2, 500 MWh</t>
  </si>
  <si>
    <t>Bereits im CRM, Neuakquise entfällt. Batteriepacks: Verguss/Thermal Gap Filler plausibel (Ableitung); nicht belegt.</t>
  </si>
  <si>
    <t>CRM-Treffer: Miba</t>
  </si>
  <si>
    <t>https://www.news.at/regional/made-in-ooe-miba-liefert-batterietechnik-fuer-sportwagen-und-feuerwehr
https://www.tips.at/nachrichten/gmunden/wirtschaft-politik/567967-miba-uebernimmt-mehrheit-am-batterie-spezialisten-voltlabor</t>
  </si>
  <si>
    <t>Prodrive Technologies</t>
  </si>
  <si>
    <t>EMS/Leistungselektronik, Motion Control</t>
  </si>
  <si>
    <t>Ja: 3 automatisierte Fertigungsstandorte (davon NL)</t>
  </si>
  <si>
    <t>Bereits im CRM, Neuakquise entfällt. Leistungselektronik, Verguss/Thermik plausibel.</t>
  </si>
  <si>
    <t>CRM-Treffer: Prodrive Technologies</t>
  </si>
  <si>
    <t>https://prodrive-technologies.com/
https://mtsprout.nl/ranglijst/de-maakindustrie-100-van-2018/8-prodrive-technologies</t>
  </si>
  <si>
    <t>Rohde &amp; Schwarz</t>
  </si>
  <si>
    <t>ARDRONIS Counter-UAS-System</t>
  </si>
  <si>
    <t>Ja (Produktion in DE, Werke Memmingen/Teisnach/Vilshofen - nicht verifiziert)</t>
  </si>
  <si>
    <t>Bereits im CRM, Neuakquise entfällt (nur Lead-Ergänzung, Zuständigkeit klären). abgeleitet aus Produkttyp: HF-Elektronik/Outdoor-Sensorik; Verguss einzelner Module plausibel, Anteil unklar.</t>
  </si>
  <si>
    <t>CRM-Treffer: Rohde &amp; Schwarz GmbH &amp; Co. KG</t>
  </si>
  <si>
    <t>https://www.rohde-schwarz.com/de/unternehmen/news-und-presse/all-news/newsarchiv_229347.html?term=UAS</t>
  </si>
  <si>
    <t>Schunk SE &amp; Co. KG</t>
  </si>
  <si>
    <t>Lauffen am Neckar</t>
  </si>
  <si>
    <t>Greifer, Spanntechnik, Roboterhände/Aktuatoren, Sensorik.</t>
  </si>
  <si>
    <t>nicht verifiziert (Fertigungsort Lauffen für Aktuatoren in Quellen nicht genannt)</t>
  </si>
  <si>
    <t>Bereits im CRM, Neuakquise entfällt (nur Lead-Ergänzung, Zuständigkeit klären). Juni 2026 Entwicklungskooperation mit Robert Bosch Robotics für humanoide Roboterhand (Schunk: Greifmechanik, Bosch: Elektronik/KI); Schunk gründete Spin-off für humanoide Hände. Elektrische Greifer/Hand-Aktuatoren -&gt; Verguss plausibel, Eigenfertigung nicht belegt.</t>
  </si>
  <si>
    <t>CRM-Treffer (Kurzform/Konzern): Schunk Electronic Solutions GmbH</t>
  </si>
  <si>
    <t>https://www.computer-automation.de/robotik/schunk-und-bosch-entwicklungskooperation-fuer-humanoide-roboterhaende-gestartet.htm
https://www.produktion.de/technik/schunk-und-bosch-entwickeln-roboterhand/2683446</t>
  </si>
  <si>
    <t>Wittenstein SE</t>
  </si>
  <si>
    <t>Igersheim</t>
  </si>
  <si>
    <t>Servo-Getriebe, Servoaktuatoren (cyber), Mechatronik.</t>
  </si>
  <si>
    <t>Sitz Igersheim, ca. 3000 Mitarbeitende 'entwickeln, produzieren' dort/weltweit (Unternehmensprofil); Standort einzelner Aktuatoren nicht belegt</t>
  </si>
  <si>
    <t>Bereits im CRM, Neuakquise entfällt (nur Lead-Ergänzung, Zuständigkeit klären). Galaxie-Aktuator (miniaturisiert, Nov 2024) für Präzisionsroboter; kein Humanoid-Bezug belegt. Verguss plausibel aus Produkttyp.</t>
  </si>
  <si>
    <t>CRM-Treffer: WITTENSTEIN</t>
  </si>
  <si>
    <t>https://wittenstein.de/fileadmin/04-3-Presse/2024/2024-11-12/wse-pm-miniaturized-galaxie-actuator/wse-pm-miniaturisierter-galaxie-aktuator-12-11-2024-de.pdf
https://www.wittenstein.de/fileadmin/06-Downloads/WITTENSTEIN-SE/Unternehmensprofil/company-profile-wittenstein-de.pdf</t>
  </si>
  <si>
    <t>Airbus Defence and Space</t>
  </si>
  <si>
    <t>Taufkirchen/Manching</t>
  </si>
  <si>
    <t>Eurodrone, Sirtap, Drohnenzentrum, Systeme</t>
  </si>
  <si>
    <t>Ja: Drone Centre Manching (Test/Validierung); Eurodrone-Endmontage Manching geplant (älterer Bericht)</t>
  </si>
  <si>
    <t>Bereits im CRM, Neuakquise entfällt (nur Lead-Ergänzung, Zuständigkeit klären). abgeleitet aus Produkttyp: Große Plattformen mit Avionik; Verguss eher bei Zulieferern, Kleinserie; Fertigung teils nicht in DE.</t>
  </si>
  <si>
    <t>CRM-Treffer (Kurzform/Konzern): Airbus</t>
  </si>
  <si>
    <t>https://airbus.com/en/products-services/defence/uas/uas-services/airbus-drone-centre-manching</t>
  </si>
  <si>
    <t>B&amp;R Industrial Automation (ABB)</t>
  </si>
  <si>
    <t>Eggelsberg</t>
  </si>
  <si>
    <t>Steuerungen, Servoantriebe, Motoren, Robotik-Automation</t>
  </si>
  <si>
    <t>Ja: Eggelsberg, 'jedes Bauteil dort entwickelt und gefertigt' (B&amp;R-Material)</t>
  </si>
  <si>
    <t>Bereits im CRM, Neuakquise entfällt. Eigene Servoantriebe/Motoren/Elektronik; Verguss/Impraegnierung plausibel, nicht verifiziert.</t>
  </si>
  <si>
    <t>CRM-Treffer: B&amp;R Industrial Automation GmbH</t>
  </si>
  <si>
    <t>https://en.wikipedia.org/wiki/B%26R
https://no-cdn.br-automation.com/fileadmin/1404731155512-de-doc.news-1.1.doc</t>
  </si>
  <si>
    <t>Beckhoff Automation</t>
  </si>
  <si>
    <t>Verl</t>
  </si>
  <si>
    <t>Servomotoren, Servoantriebe, Steuerung.</t>
  </si>
  <si>
    <t>Bereits im CRM, Neuakquise entfällt (nur Lead-Ergänzung, Zuständigkeit klären). Eigene Motorenfertigung; Verguss plausibel. Zweite Suche: keine Belege für Humanoid-Aktivitäten gefunden.</t>
  </si>
  <si>
    <t>CRM-Treffer: Beckhoff Automation GmbH &amp; Co. KG</t>
  </si>
  <si>
    <t>https://www.beckhoff.com</t>
  </si>
  <si>
    <t>Bosch Rexroth</t>
  </si>
  <si>
    <t>Lohr am Main</t>
  </si>
  <si>
    <t>Antriebe, Servomotoren, Automatisierung.</t>
  </si>
  <si>
    <t>Bereits im CRM, Neuakquise entfällt (nur Lead-Ergänzung, Zuständigkeit klären). Servomotoren/Elektronik; Verguss plausibel. Hinweis: Bosch-Konzern separat (Humanoid/Neura/Schunk) siehe eigener Eintrag.</t>
  </si>
  <si>
    <t>CRM-Treffer (Kurzform/Konzern): Bosch</t>
  </si>
  <si>
    <t>https://www.boschrexroth.com</t>
  </si>
  <si>
    <t>CUSTOMCELLS</t>
  </si>
  <si>
    <t>Itzehoe (nicht verifiziert)</t>
  </si>
  <si>
    <t>Zellen/Packs (Drohnen)</t>
  </si>
  <si>
    <t>CRM-Treffer: Customcells Holding GmbH</t>
  </si>
  <si>
    <t>ELIN Motoren GmbH (Voith)</t>
  </si>
  <si>
    <t>Weiz (Werk Preding)</t>
  </si>
  <si>
    <t>Elektromotoren und Generatoren (Kleinserie, Sonderloesungen)</t>
  </si>
  <si>
    <t>Ja: Hauptwerk Preding/Weiz</t>
  </si>
  <si>
    <t>Bereits im CRM, Neuakquise entfällt. Wicklungen mit Isolation/Impraegnierung (VPI) bei Motoren dieser Art ueblich; in Quelle nicht belegt.</t>
  </si>
  <si>
    <t>CRM-Treffer: ELIN Motoren GmbH</t>
  </si>
  <si>
    <t>https://www.jobs.at/a/elin-motoren
https://magneticsmag.com/?p=14087</t>
  </si>
  <si>
    <t>Harmonic Drive SE</t>
  </si>
  <si>
    <t>Limburg an der Lahn</t>
  </si>
  <si>
    <t>Spannungswellengetriebe, Aktuatoren, Servoantriebe.</t>
  </si>
  <si>
    <t>Hauptstandort Limburg: 4 von 5 Produkten sind Sonderausführungen, dort entwickelt und gefertigt (Firmenbroschüre); Humanoid-Aktuatoren (LPA-20) nur von US-Tochter belegt</t>
  </si>
  <si>
    <t>Bereits im CRM, Neuakquise entfällt (nur Lead-Ergänzung, Zuständigkeit klären). Getriebe/Aktuatoren mit BLDC-Motor, Encodern und Servoantrieb (LPA-Serie, Drittverzeichnis); Verguss plausibel, Limburger Aktuatorfertigung für Humanoide nicht belegt.</t>
  </si>
  <si>
    <t>CRM-Treffer: Harmonic Drive SE</t>
  </si>
  <si>
    <t>https://harmonicdrive.de/fileadmin/user_upload/Robotik_DE_2022_final.pdf
https://humanoidroboticstechnology.com/company/harmonic-drive-llc/lpa-20-integrated-servo-actuator/</t>
  </si>
  <si>
    <t>Jenoptik</t>
  </si>
  <si>
    <t>Jena</t>
  </si>
  <si>
    <t>Optik/Sensorik, Zielfernsysteme</t>
  </si>
  <si>
    <t>Ja (Jena, nicht verifiziert in dieser Recherche)</t>
  </si>
  <si>
    <t>Bereits im CRM, Neuakquise entfällt (nur Lead-Ergänzung, Zuständigkeit klären). abgeleitet aus Produkttyp: Sensor-/Laser-Module, Verguss plausibel.</t>
  </si>
  <si>
    <t>CRM-Treffer: JENOPTIK AG</t>
  </si>
  <si>
    <t>nicht verifiziert (Allgemeinwissen, keine Quelle in dieser Recherche)</t>
  </si>
  <si>
    <t>Origin Robotics</t>
  </si>
  <si>
    <t>Ausland / ohne DE-Bezug</t>
  </si>
  <si>
    <t>Riga (Lettland)</t>
  </si>
  <si>
    <t>Abfangdrohne Blaze</t>
  </si>
  <si>
    <t>Nein; Absicht, Blaze lokal in Deutschland zu fertigen (Alpine-Eagle-Partnerschaft)</t>
  </si>
  <si>
    <t>Randfall/kein Zielkunde: Randfall: Nicht-DE, Lettland abgeleitet aus Produkttyp: Interceptor; nur wenn DE-Fertigung kommt.</t>
  </si>
  <si>
    <t>https://militaeraktuell.at/alpine-eagle-origin-robotics-drohnenabwehr/</t>
  </si>
  <si>
    <t>Pepperl+Fuchs</t>
  </si>
  <si>
    <t>Mannheim</t>
  </si>
  <si>
    <t>Industriesensorik.</t>
  </si>
  <si>
    <t>CRM-Treffer (Kurzform/Konzern): Pepperl</t>
  </si>
  <si>
    <t>https://www.pepperl-fuchs.com</t>
  </si>
  <si>
    <t>SEW-Eurodrive</t>
  </si>
  <si>
    <t>Getriebemotoren, Frequenzumrichter.</t>
  </si>
  <si>
    <t>Bereits im CRM, Neuakquise entfällt (nur Lead-Ergänzung, Zuständigkeit klären). Motorwicklung und Elektronik; Verguss/Imprägnierung üblich. Zweite Suche: keine Belege für Humanoid-Aktivitäten gefunden.</t>
  </si>
  <si>
    <t>CRM-Treffer: SEW Eurodrive</t>
  </si>
  <si>
    <t>https://www.sew-eurodrive.de</t>
  </si>
  <si>
    <t>Semikron Danfoss</t>
  </si>
  <si>
    <t>Leistungsmodule, Umrichter.</t>
  </si>
  <si>
    <t>Hauptstandorte Nürnberg und Flensburg bleiben bestehen (Fusion 2022)</t>
  </si>
  <si>
    <t>Bereits im CRM, Neuakquise entfällt (nur Lead-Ergänzung, Zuständigkeit klären). Leistungsmodule (IGBT, SiC); Verguss-/Packagingprozess typisch, in Quellen nicht ausdrücklich belegt; Robotik nicht ausdrücklich genannt.</t>
  </si>
  <si>
    <t>CRM-Treffer: Semikron Danfoss</t>
  </si>
  <si>
    <t>https://www.danfoss.com/en/about-danfoss/news/cf/green-light-for-semikron-danfoss/
https://www.computer-automation.de/antriebe/semikron-und-danfoss-fusionieren.htm?thema=sps</t>
  </si>
  <si>
    <t>Ungenannter OÖ-Pruef-/Messtechnik-Familienbetrieb (EURES-Anzeige)</t>
  </si>
  <si>
    <t>unbekannt (Ort nicht genannt)</t>
  </si>
  <si>
    <t>Pruef-/Messtechnik, Kabelendverschluesse</t>
  </si>
  <si>
    <t>Betreibt laut Stellenanzeige Vakuumvergussanlage fuer Epoxid (Kabelendverschluesse)  [Prüfung: Fertigung nicht belegt]</t>
  </si>
  <si>
    <t>Firma nicht identifizierbar, daher nicht kontaktierbar; die Stellenanzeige (auf spanischer Behörden-Seite gespiegelt) belegt nur eine Vakuumvergussanlage für Epoxid-Kabelendverschlüsse bei einem Prüftechnik-Familienbetrieb, ohne Ort. Kein Drohnenbezug. Zurück an Stufe 1: Arbeitgeber über AMS/EURES-Originalanzeige identifizieren.
Nicht verwenden: Bundesland Oberösterreich; Jegliche Firmenzuordnung; Fertigung in AT</t>
  </si>
  <si>
    <t>https://servicios3.jcyl.es/enbo/siau/contenido/NVJKb3NydUxOZERXMTR0Zzl2bFJBeDFmUGZBUWlUaDJwNXZTWXNXM1doRT0%3D</t>
  </si>
  <si>
    <t>VARTA AG</t>
  </si>
  <si>
    <t>Ellwangen (nicht verifiziert)</t>
  </si>
  <si>
    <t>Batteriepacks</t>
  </si>
  <si>
    <t>CRM-Treffer: VARTA</t>
  </si>
  <si>
    <t>Weiss Elektrotechnik</t>
  </si>
  <si>
    <t>Netztransformatoren bis 15 kVA, Spulen, Drosseln</t>
  </si>
  <si>
    <t>Bereits im CRM, Neuakquise entfällt (nur Lead-Ergänzung, Zuständigkeit klären). Trafos: Verguss/Imprägnierung plausibel</t>
  </si>
  <si>
    <t>CRM-Treffer: WEISS ELEKTROTECHNIK</t>
  </si>
  <si>
    <t>ebm-papst</t>
  </si>
  <si>
    <t>Mulfingen</t>
  </si>
  <si>
    <t>EC-Motoren, Antriebe.</t>
  </si>
  <si>
    <t>Bereits im CRM, Neuakquise entfällt (nur Lead-Ergänzung, Zuständigkeit klären). EC-Motoren; Verguss/Imprägnierung üblich, Humanoid-Bezug nicht verifiziert.</t>
  </si>
  <si>
    <t>CRM-Treffer (Kurzform/Konzern): ebm-papst Mulfingen GmbH &amp; Co. KG</t>
  </si>
  <si>
    <t>https://www.ebmpapst.com</t>
  </si>
  <si>
    <t>ismet GmbH (Phoenix Mecano)</t>
  </si>
  <si>
    <t>Transformatoren, Drosseln, Filter</t>
  </si>
  <si>
    <t>Bereits im CRM, Neuakquise entfällt (nur Lead-Ergänzung, Zuständigkeit klären). Induktive Bauteile -&gt; Verguss plausibel</t>
  </si>
  <si>
    <t>CRM-Treffer: Ismet</t>
  </si>
  <si>
    <t>DEUTZ AG</t>
  </si>
  <si>
    <t>Köln</t>
  </si>
  <si>
    <t>Antriebe; Fertigungspartner für ARX-Bodenroboter</t>
  </si>
  <si>
    <t>Ja (belegt): Serienmontage Gereon (ARX) im DEUTZ-Werk Ulm ab Juli 2026</t>
  </si>
  <si>
    <t>Bereits im CRM, Neuakquise entfällt (nur Lead-Ergänzung, Zuständigkeit klären). abgeleitet aus Produkttyp: Auftragsmontage UGV, E-Antriebe/Batterie; Verguss bei Antriebs-/Batterieelektronik plausibel.</t>
  </si>
  <si>
    <t>CRM-Treffer: Deutz AG</t>
  </si>
  <si>
    <t>https://www.produktion.de/ruestung-aerospace/deutz-startet-serienproduktion-von-militaerrobotern/2695136</t>
  </si>
  <si>
    <t>Lenze SE</t>
  </si>
  <si>
    <t>Aerzen</t>
  </si>
  <si>
    <t>Antriebe, Getriebemotoren, Umrichter.</t>
  </si>
  <si>
    <t>CRM-Treffer: Lenze</t>
  </si>
  <si>
    <t>https://www.lenze.com</t>
  </si>
  <si>
    <t>Leuze electronic</t>
  </si>
  <si>
    <t>Owen (nicht verifiziert)</t>
  </si>
  <si>
    <t>opt. Sensorik</t>
  </si>
  <si>
    <t>CRM-Treffer (Kurzform/Konzern): Leuze electronic Deutschalnd GmbH +Co. KG</t>
  </si>
  <si>
    <t>Micro-Epsilon</t>
  </si>
  <si>
    <t>Ortenburg (nicht verifiziert)</t>
  </si>
  <si>
    <t>Präzisionssensorik</t>
  </si>
  <si>
    <t>CRM-Treffer (Kurzform/Konzern): Micro-Epsilon Messtechnik GmbH &amp; Co. KG</t>
  </si>
  <si>
    <t>Aeronamic B.V.</t>
  </si>
  <si>
    <t>E-Kompressoren, Turbomaschinen (Defence/Luftfahrt)</t>
  </si>
  <si>
    <t>Ja: Almelo, Woensdrecht</t>
  </si>
  <si>
    <t>Bereits im CRM, Neuakquise entfällt. Motoren/Elektronik (E-Kompressor), Verguss plausibel.</t>
  </si>
  <si>
    <t>CRM-Treffer: Aeronamic</t>
  </si>
  <si>
    <t>https://www.cbinsights.com/company/aeronamic
https://ioplus.nl/nl/posts/aeronamics-ultracompacte-compressoren-voor-de-luchtvaart</t>
  </si>
  <si>
    <t>Airbus Defence and Space Netherlands B.V.</t>
  </si>
  <si>
    <t>Leiden</t>
  </si>
  <si>
    <t>Solararrays/Raumfahrtelektronik</t>
  </si>
  <si>
    <t>Ja: Leiden, Sparkwing-Solararrays</t>
  </si>
  <si>
    <t>Bereits im CRM, Neuakquise entfällt. Raumfahrt-Elektronik/-Kleber; Verguss gering.</t>
  </si>
  <si>
    <t>CRM-Treffer: Airbus</t>
  </si>
  <si>
    <t>https://www.airbus.com/en/newsroom/stories/2022-10-second-batch-of-airbus-sparkwing-solar-panels-selected-by-aerospacelab-to
https://airbus.com/en/newsroom/press-releases/2024-09-airbus-selected-by-mda-space-to-deliver-over-200-sparkwing-solar</t>
  </si>
  <si>
    <t>Fronius International GmbH</t>
  </si>
  <si>
    <t>Pettenbach (Sattledt, Wels)</t>
  </si>
  <si>
    <t>Schweisstechnik, Wechselrichter, Batterieladetechnik</t>
  </si>
  <si>
    <t>Ja: Pettenbach (Brenner/Roboterteile), Sattledt (alle Geschaeftsfelder)</t>
  </si>
  <si>
    <t>Bereits im CRM, Neuakquise entfällt. Leistungselektronik; Verguss/Gap-Filler plausibel; Branche fern.</t>
  </si>
  <si>
    <t>CRM-Treffer: Fronius International GmbH</t>
  </si>
  <si>
    <t>https://industriemagazin.at/energie/fronius-will-heuer-viertelmilliarde-in-ausbau-der-produktionskapazitaeten-investieren/
https://www.fronius.com/de-at/austria/ueber-fronius/betriebsbesichtigungen-bei-fronius</t>
  </si>
  <si>
    <t>Kunststoff-Chemische Produkte GmbH</t>
  </si>
  <si>
    <t>Friolzheim (laut Verzeichnis Implisense, 'KC Kunststoff-Chemische Produkte GmbH')</t>
  </si>
  <si>
    <t>Schutzlackierung, Verguss Baugruppen</t>
  </si>
  <si>
    <t>Selbstdarstellung  [Prüfung: Fertigung nicht belegt]</t>
  </si>
  <si>
    <t>Bereits im CRM, Neuakquise entfällt. Nur Aggregator-Eintrag gefunden (Friolzheim, kleines Unternehmen, Anlagenbau/Kunststoffe/Baugruppen); Verguss/Schutzlack, Fertigung und Bezug zu Drohnen/Humanoiden nicht belegt. Identität zur Toms Firma nicht bestätigt.
Nicht verwenden: Schutzlackierung und Verguss von Baugruppen; Fertigung/Lohnleistung; Bezug Drohnen/Humanoide</t>
  </si>
  <si>
    <t>CRM-Treffer (Kurzform): KC – Kunststoff- Chemische Produkte GmbH</t>
  </si>
  <si>
    <t>https://implisense.com/en/companies/kc-kunststoff-chemische-produkte-gmbh-friolzheim-DEZGL28AP567
https://www.wlw.de/de/suche/vergussmassen-fuer-die-elektrotechnik</t>
  </si>
  <si>
    <t>Physik Instrumente (PI)</t>
  </si>
  <si>
    <t>Karlsruhe</t>
  </si>
  <si>
    <t>Piezo-/Präzisionsantriebe.</t>
  </si>
  <si>
    <t>Bereits im CRM, Neuakquise entfällt (nur Lead-Ergänzung, Zuständigkeit klären). Piezoaktoren/Motoren; Verguss möglich.</t>
  </si>
  <si>
    <t>CRM-Treffer: Physik Instrumente (PI) SE &amp; Co. KG</t>
  </si>
  <si>
    <t>https://www.pi.ws</t>
  </si>
  <si>
    <t>SICK AG</t>
  </si>
  <si>
    <t>Waldkirch</t>
  </si>
  <si>
    <t>Sensoren, LiDAR, Sicherheitssensorik.</t>
  </si>
  <si>
    <t>Bereits im CRM, Neuakquise entfällt (nur Lead-Ergänzung, Zuständigkeit klären). Sensorelektronik; Verguss teilweise.</t>
  </si>
  <si>
    <t>CRM-Treffer: SICK AG</t>
  </si>
  <si>
    <t>https://www.sick.com</t>
  </si>
  <si>
    <t>ZF Friedrichshafen</t>
  </si>
  <si>
    <t>Friedrichshafen</t>
  </si>
  <si>
    <t>Antriebsstrang, E-Motoren, Elektronik; Robotik-Aktivitäten.</t>
  </si>
  <si>
    <t>Bereits im CRM, Neuakquise entfällt (nur Lead-Ergänzung, Zuständigkeit klären). Keine Belege für Humanoid-/Robotik-Aktuatoren von ZF gefunden; Einstufung nur aus Konzernprodukten (E-Antriebe).</t>
  </si>
  <si>
    <t>CRM-Treffer: ZF Friedrichshafen AG</t>
  </si>
  <si>
    <t>https://www.zf.com</t>
  </si>
  <si>
    <t>Aaronia Austria GmbH</t>
  </si>
  <si>
    <t>Bad Vöslau</t>
  </si>
  <si>
    <t>AARTOS Drohnendetektion (RF-Sensorik)</t>
  </si>
  <si>
    <t>Fertigung in AT nicht verifiziert (Buero/Flugplatz Bad Voeslau; Mutter Aaronia AG DE)</t>
  </si>
  <si>
    <t>Verguss unwahrscheinlich (P &lt; 40 %). Sensor-/HF-Elektronik; Verguss fuer Outdoor-Gehaeuse plausibel, Fertigung eher bei Mutter in DE.</t>
  </si>
  <si>
    <t>https://militaeraktuell.at/en/aaronia-austria-goes-hunting-for-drones/
https://www.microwavejournal.com/articles/42612-airpower24-austrian-armed-forces-and-aaronia-collaborate-to-protect-europes-largest-airshow-from-illegal-drones</t>
  </si>
  <si>
    <t>Aerodata AG</t>
  </si>
  <si>
    <t>Braunschweig</t>
  </si>
  <si>
    <t>Luftfahrt-Messsysteme, UAV-Nutzlasten</t>
  </si>
  <si>
    <t>Randfall/kein Zielkunde: Verguss unwahrscheinlich (P &lt; 40 %) abgeleitet aus Produkttyp: Sensorik/Avionik.</t>
  </si>
  <si>
    <t>DroneShield</t>
  </si>
  <si>
    <t>Australien; Ausbau Lieferkette in DE</t>
  </si>
  <si>
    <t>Counter-UAS RF-Sensorik</t>
  </si>
  <si>
    <t>Geplant: Partner in DE für Fertigung/Elektronik, Partner nicht benannt</t>
  </si>
  <si>
    <t>Randfall/kein Zielkunde: Randfall: Nicht-DE abgeleitet aus Produkttyp: Ausländisch; mögliche deutsche Elektronikfertiger als Zielgruppe.</t>
  </si>
  <si>
    <t>https://esut.de/en/2026/05/meldungen/71072/droneshield-treibt-ausbau-der-lieferkette-in-deutschland-voran/</t>
  </si>
  <si>
    <t>ESG Elektroniksystem- und Logistik-GmbH</t>
  </si>
  <si>
    <t>Fürstenfeldbruck</t>
  </si>
  <si>
    <t>ASUL C-UAS (Radar, Kamera, Jammer in Containern), Elysion-Software</t>
  </si>
  <si>
    <t>Sitz Fürstenfeldbruck nicht verifiziert; ESG lieferte 5 ASUL-C-UAS-Systeme (40 Mio. EUR) an Bundeswehr; Eigenfertigung nicht belegt</t>
  </si>
  <si>
    <t>Randfall/kein Zielkunde: Verguss unwahrscheinlich (P &lt; 40 %) abgeleitet aus Produkttyp: Systemintegration; Verguss eher bei Zulieferern.</t>
  </si>
  <si>
    <t>https://www.unmannedairspace.info/counter-uas-systems-and-policies/german-armed-forces-select-esgs-asul-counter-drone-platform/
https://janes.com/osint-insights/defence-news/weapons/germany-procures-c-uas-capability-from-esg</t>
  </si>
  <si>
    <t>Emqopter GmbH</t>
  </si>
  <si>
    <t>Würzburg (Adresse widersprüchlich: Otto-Hahn-Straße 7 laut Presse, Magdalene-Schoch-Str. 5 laut Verzeichnissen)</t>
  </si>
  <si>
    <t>Multicopter, Lieferdrohne, Kollisionsvermeidungsmodul, EMQport Drohnenport</t>
  </si>
  <si>
    <t>Nicht belegt: nicht verifiziert
Eigene Website nicht abrufbar. Pressemitteilung nennt Emqopter 'Entwickler und Hersteller von Flugrobotertechnik und Multikoptersystemen', 'made in Germany'; kein Produktionsort belegt.</t>
  </si>
  <si>
    <t>Verguss unwahrscheinlich (P &lt; 40 %). Sitz Würzburg (Bayern) über Presse belegt, Adresse uneinheitlich. Fertigung und Verguss offen, Kleinunternehmen (Uni-Spin-off), daher GELB wegen offener Fertigung, aber niedrige Priorität. P 0,35 wie Tom.
Verguss: Offen: Drohnen, Sensormodule und Drohnenport; Eigenfertigung und Elektronikverguss nicht belegt.</t>
  </si>
  <si>
    <t>https://logistik-heute.de/news/automatisierte-luftlogistik-emqopter-eroeffnet-drohnenport-wuerzburg-260556.html
https://www.wirtschaftsforum.de/emqopter-gmbh
https://insideunmannedsystems.com/emqopter-operating-first-urban-delivery-drone-in-germany/</t>
  </si>
  <si>
    <t>Festo SE &amp; Co. KG</t>
  </si>
  <si>
    <t>Esslingen</t>
  </si>
  <si>
    <t>Pneumatik, elektrische Antriebe, Bionik-Robotik.</t>
  </si>
  <si>
    <t>Sitz Esslingen; Elektronikfertigung nicht belegt</t>
  </si>
  <si>
    <t>Bereits im CRM, Neuakquise entfällt (nur Lead-Ergänzung, Zuständigkeit klären). Bionic Learning Network (BionicCobot, pneumatische Hand), kein humanoider Roboter belegt; elektrische Antriebe im Programm.</t>
  </si>
  <si>
    <t>CRM-Treffer: FESTO</t>
  </si>
  <si>
    <t>https://www.computer-automation.de/robotik/von-elefant-und-oktopus-lernen.htm
https://www.hannovermesse.de/aussteller/festo/J228791</t>
  </si>
  <si>
    <t>Heidelberger Druckmaschinen AG</t>
  </si>
  <si>
    <t>Heidelberg</t>
  </si>
  <si>
    <t>Fertigungspartner Drohnenabwehr/Drohnen-Startups</t>
  </si>
  <si>
    <t>Ja (belegt): Einstieg Drohnenabwehr, JV Onberg in Brandenburg an der Havel</t>
  </si>
  <si>
    <t>Randfall/kein Zielkunde: Verguss unwahrscheinlich (P &lt; 40 %) abgeleitet aus Produkttyp: Auftragsfertiger-Rolle, Elektronikmontage; Verguss möglich, nicht belegt.</t>
  </si>
  <si>
    <t>https://www.schwaebische.de/wirtschaft/heidelberger-druck-steigt-in-drohnenabwehr-ein-4501988
https://table.media/en/security/news-en/drone-defense-made-in-brandenburg-joint-venture-onberg-lays-the-symbolic-cornerstone</t>
  </si>
  <si>
    <t>KEBA Group AG</t>
  </si>
  <si>
    <t>Linz</t>
  </si>
  <si>
    <t>Steuerungen, Robotik-Controller, Servoantriebe (KEBA Industrial Automation)</t>
  </si>
  <si>
    <t>Fertigung in AT nicht verifiziert</t>
  </si>
  <si>
    <t>Bereits im CRM, Neuakquise entfällt. Elektronik/Antriebe, Verguss plausibel; Fertigungsort offen.</t>
  </si>
  <si>
    <t>CRM-Treffer: KEBA Group AG</t>
  </si>
  <si>
    <t>https://www.elektroniknet.de/anbieterkompass/keba-ag.1001517/index.html
https://www.industrial-production.de/wirtschaft---unternehmen/expansion--keba-nimmt-werk-2-in-betrieb.htm</t>
  </si>
  <si>
    <t>KNDS Deutschland</t>
  </si>
  <si>
    <t>München (Sitz); Produktion Kassel</t>
  </si>
  <si>
    <t>Fahrzeuge/Flugabwehr, unbemannte Plattformen</t>
  </si>
  <si>
    <t>Sitz München und Fertigung (Kassel, ca. 2.000 MA) belegt, aber Fertigung betrifft Panzer/Turmsysteme; unbemannte Plattformen/Drohnen-Produktion in den Quellen nicht belegt, Bordelektronik-Verguss unklar. Kein belegter Bezug zu Drohnen/Humanoiden.
Nicht verwenden: Unbemannte Plattformen/Flugabwehr als KNDS-Deutschland-Produkt; Verguss-Prozess</t>
  </si>
  <si>
    <t>https://knds.com/standorte
https://www.hessenschau.de/wirtschaft/verteidigungsminister-pistorius-bei-knds-in-kassel-aufbruchsgeist-im-werk-spuerbar-v1,pistorius-knds-kassel-100.html
https://defence-network.com/pistorius-in-kassel-knds-produktinnovationen/</t>
  </si>
  <si>
    <t>Merkur Elektronik</t>
  </si>
  <si>
    <t>Baden-Baden</t>
  </si>
  <si>
    <t>Elektronik (Verzeichniseintrag ohne Details)</t>
  </si>
  <si>
    <t>nicht verifiziert (nur Verzeichniseintrag)</t>
  </si>
  <si>
    <t>Randfall/kein Zielkunde: Verguss unwahrscheinlich (P &lt; 40 %) Leistungen unklar</t>
  </si>
  <si>
    <t>Smart Robotics</t>
  </si>
  <si>
    <t>Eindhoven / Best (uneinheitlich)</t>
  </si>
  <si>
    <t>Pick-&amp;-Place Cobots (Logistik)</t>
  </si>
  <si>
    <t>Nicht verifiziert (Montage)</t>
  </si>
  <si>
    <t>Verguss unwahrscheinlich (P &lt; 40 %). Cobots; Verguss moeglich.</t>
  </si>
  <si>
    <t>https://ioplus.nl/archive/nl/smart-robotics-hoort-tot-de-top-5-van-de-wereld-in-de-logistiek/
https://mtsprout.nl/tech-innovatie/robotica-bedrijven-robotics-nederland</t>
  </si>
  <si>
    <t>VDL Groep</t>
  </si>
  <si>
    <t>Eindhoven (Born)</t>
  </si>
  <si>
    <t>Industriegruppe, Defence-Campus, Drohnenfabrik</t>
  </si>
  <si>
    <t>Ja: Born, 120.000 m2 an Defensie vermietet</t>
  </si>
  <si>
    <t>Verguss unwahrscheinlich (P &lt; 40 %). Fertigungskonglomerat; Verguss je Tochter.</t>
  </si>
  <si>
    <t>https://www.vdlgroep.com/en/news/vdl-and-defence-are-partnering-to-scale-up-defence-production-in-the-netherlands
https://ioplus.nl/en/posts/vdl-nedcar-converted-into-drone-factory</t>
  </si>
  <si>
    <t>igus GmbH</t>
  </si>
  <si>
    <t>Leitungen, Gleitlager, Roboter (ReBeL), Motoren/Steuerungen.</t>
  </si>
  <si>
    <t>Iggy Rob (Industrial/Home): laut Bericht Entwicklung und Fertigung vollständig in Deutschland (Mechanik, Elektronik, Software); Motoren/Aktuatoren nicht genannt</t>
  </si>
  <si>
    <t>Randfall/kein Zielkunde: Verguss unwahrscheinlich (P &lt; 40 %) Humanoid-Plattform auf mobiler Basis mit 2 ReBeL-Cobot-Armen; Eigenfertigung Motoren nicht belegt.</t>
  </si>
  <si>
    <t>https://www.industrial-production.de/industrieroboter/humanoide-robotik-aus-deutschland--igus-bringt-serviceroboter-fuer-den-alltag-auf-den-markt.htm
https://www.automation.com/article/igus-iggy-rob-humanoid-robot-industrial</t>
  </si>
  <si>
    <t>Airbus Helicopters Deutschland</t>
  </si>
  <si>
    <t>Donauwörth</t>
  </si>
  <si>
    <t>Hubschrauber, Drohnen-Integration</t>
  </si>
  <si>
    <t>Ja (Donauwörth, nicht verifiziert in dieser Recherche)</t>
  </si>
  <si>
    <t>Bereits im CRM, Neuakquise entfällt (nur Lead-Ergänzung, Zuständigkeit klären). abgeleitet aus Produkttyp: Wenig Eigenverguss.</t>
  </si>
  <si>
    <t>Austro Engine GmbH</t>
  </si>
  <si>
    <t>Wiener Neustadt</t>
  </si>
  <si>
    <t>Wankel-Rotationsmotoren AE50R/AE110R, Diesel AE300 fuer UAV</t>
  </si>
  <si>
    <t>Ja: Motorenproduktion in Wiener Neustadt</t>
  </si>
  <si>
    <t>Verguss unwahrscheinlich (P &lt; 40 %). Verbrennungsmotoren mit Generator/Elektrik; Verguss nur fuer Nebenelektronik (ECU/Sensorik) plausibel; unsicher.</t>
  </si>
  <si>
    <t>https://www.diamondaircraft.com/en/austro-engine
https://marketplace.aviationweek.com/suppliers/austro-engine-gmbh/
https://cbinsights.com/compare/austro-engine-vs-orbital-uav</t>
  </si>
  <si>
    <t>Baumüller Austria GmbH</t>
  </si>
  <si>
    <t>nicht verifiziert (Österreich)</t>
  </si>
  <si>
    <t>Motoren-Instandsetzung, Antriebstechnik</t>
  </si>
  <si>
    <t>Elektromotoren-/Elektronikwerkstatt, ISO-zertifiziert</t>
  </si>
  <si>
    <t>Verguss unwahrscheinlich (P &lt; 40 %). Werkstatt/Reparatur inkl. Wicklung; evtl. Impraegnierung.</t>
  </si>
  <si>
    <t>https://www.industrial-production.de/wirtschaft---unternehmen/baumueller-austria--spatenstich-fuer-neues-gebaeude.htm</t>
  </si>
  <si>
    <t>Binder Elektronik</t>
  </si>
  <si>
    <t>Sinsheim</t>
  </si>
  <si>
    <t>EMS, Elektronikmodule</t>
  </si>
  <si>
    <t>Beleg: EMS-Verzeichnis (Quelle)</t>
  </si>
  <si>
    <t>Nur Verzeichniseintrag (Entwicklung/Fertigung Elektronikmodule, EMS, IoT-Kits), einfach belegt; keinerlei Drohnen-/Humanoiden-Bezug und kein Verguss-Beleg. Identität zu binder-Gruppe unklar.
Nicht verwenden: Drohnen-/Humanoiden-Bezug; Verguss-Angebot; Zuordnung zur binder-Gruppe</t>
  </si>
  <si>
    <t>https://www.it-in-germany.de/09082227/deu/Leiterplattenbestückung und Leiterplattenprüfung
https://www.leuze-verlag.de/en/plus/industry-leader-electronics/20728-binder-electronic-manufacturing-services-gmbh</t>
  </si>
  <si>
    <t>DEHN SE</t>
  </si>
  <si>
    <t>Neumarkt i.d.OPf.</t>
  </si>
  <si>
    <t>Überspannungs-/Hochspannungsschutz</t>
  </si>
  <si>
    <t>Sitz Neumarkt und Fertigung (Neumarkt, Mühlhausen) belegt, aber Suche liefert keinerlei Bezug zu Drohnen oder Humanoiden und keinen Verguss-Beleg. Ohne Zielgruppenbezug zurück an Stufe 1.
Nicht verwenden: Drohnen-/Humanoiden-Bezug; Verguss-Prozess</t>
  </si>
  <si>
    <t>https://www.dehn-international.com/en/press/new-lead-factory
https://www.industrial-production.de/wirtschaft---unternehmen/dehn---soehne--100-jahre.htm</t>
  </si>
  <si>
    <t>Delft Dynamics B.V.</t>
  </si>
  <si>
    <t>Pijnacker (Katwijkerlaan 65) laut PitchBook/Verzeichnissen; ältere Verzeichnisse nennen Delft; Website nennt keinen Ort</t>
  </si>
  <si>
    <t>RH-Serie UAV, DroneCatcher, U-Drone (Defence)</t>
  </si>
  <si>
    <t>Nicht belegt: nicht belegt
delftdynamics.nl: 'developed and manufactured' mehrere Drohnenplattformen (RH2/RH3/RH4, DroneCatcher), aber ohne Ortsangabe; Mitarbeiterzahl laut Drittprofilen ca. 6-10; Aktivität über F&amp;E-Projekte (iMUGS2, ORIGAMI, E-CUAS).</t>
  </si>
  <si>
    <t>Sehr kleines, projektgetriebenes Unternehmen; Fertigungsort, Serienfertigung und Verguss sind nicht belegt, Sitz nur aus Verzeichnissen mit widersprüchlichen Adressen (Delft/Pijnacker). Korrektur an Tom: P 0,3 statt 0,4; ROT bleibt wegen fehlender Fertigungsbelege und Größe.
Verguss: Offen/unwahrscheinlich: Website erwähnt kein Potting; sehr kleines F&amp;E-getriebenes Unternehmen ohne erkennbare Serienfertigung.</t>
  </si>
  <si>
    <t>https://www.delftdynamics.nl
https://pitchbook.com/profiles/company/107952-85
https://robotics.press/companies/delft-dynamics/</t>
  </si>
  <si>
    <t>Frencken Group (Europe)</t>
  </si>
  <si>
    <t>Eindhoven</t>
  </si>
  <si>
    <t>Hightech-Systemfertigung, Maschinenbau/Mechatronik</t>
  </si>
  <si>
    <t>Ja: NL-Tochtergesellschaften (Details nicht verifiziert)</t>
  </si>
  <si>
    <t>Bereits im CRM, Neuakquise entfällt. Systemfertiger, Verguss gering.</t>
  </si>
  <si>
    <t>CRM-Treffer: Frencken Engineering B.V.</t>
  </si>
  <si>
    <t>https://www.werkzoeken.nl/bedrijven/50656-frencken-group/</t>
  </si>
  <si>
    <t>Fujitsu Technology Solutions Augsburg</t>
  </si>
  <si>
    <t>Augsburg (nicht verifiziert)</t>
  </si>
  <si>
    <t>EMS/Fertigung</t>
  </si>
  <si>
    <t>Randfall/kein Zielkunde: Verguss unwahrscheinlich (P &lt; 40 %) Ableitung aus Produkttyp; Hintergrundwissen, keine Quelle geprüft</t>
  </si>
  <si>
    <t>Grob Aircraft (Helsing)</t>
  </si>
  <si>
    <t>Tussenhausen-Mattsies</t>
  </si>
  <si>
    <t>Leichtflugzeuge, Zielpunkt für Helsing-Plattformen (CA-1)</t>
  </si>
  <si>
    <t>Ja: Flugzeugbau; Übernahme durch Helsing Juni 2025</t>
  </si>
  <si>
    <t>Randfall/kein Zielkunde: Randfall: Flugzeugbau abgeleitet aus Produkttyp: Flugzeugbau, wenig Verguss; Wert eher bei Helsing-Avionik.</t>
  </si>
  <si>
    <t>https://www.munich-startup.de/en/tag/defense/</t>
  </si>
  <si>
    <t>Ground A</t>
  </si>
  <si>
    <t>Düsseldorf (Hauptsitz laut Presse), Niederlassung Berlin</t>
  </si>
  <si>
    <t>GA 1000 mobiles Hochenergie-Laser-Drohnenabwehrsystem</t>
  </si>
  <si>
    <t>Nicht belegt: keine Fertigung; Serie in Deutschland ab 2027 geplant, Standort offen
Presse (defence-network, airliners/dpa, deutschland.de): GmbH im Januar 2026 gegründet, Prototypenphase, Serienfertigung 2027 geplant, kein Standort. ground-a.com nicht abrufbar (503).</t>
  </si>
  <si>
    <t>Start-up ohne aktuelle Fertigung, Serienstandort offen; Sitz Düsseldorf/Berlin laut Presse uneinheitlich, kein Impressum geprüft. Tom-Einstufung ROT bestätigt.
Verguss: Offen: Laser-Drohnenabwehr mit Leistungselektronik, Verguss nur aus Produkttyp ableitbar, kein Beleg.</t>
  </si>
  <si>
    <t>https://www.airliners.de/deutsches-start-up-plant-serienproduktion-laser-drohnen/90117
https://defence-network.com/ground-a-c-uav-startup-markteinfuehrung/
https://www.deutschland.de/de/news/startup-demonstriert-neue-laserwaffe-gegen-drohnen
https://tech.eu/2026/09/08/ground-a-raises-eur9m-to-bring-laser-based-counter-drone-technology-to-market//</t>
  </si>
  <si>
    <t>Hyllus Systems B.V.</t>
  </si>
  <si>
    <t>Enschede (NIDV und Firmenprofil; ein Karriereportal nennt Hengelo)</t>
  </si>
  <si>
    <t>Interceptor-Drohnen, Ukraine-Lieferungen ca. 400</t>
  </si>
  <si>
    <t>Nicht belegt: nicht belegt
hyllus.nl liefert HTTP 503. Presse (mtsprout, NIDV): Rümpfe 3D-gedruckt, Komponenten überwiegend aus China, Lieferung als Bausätze; kein Fertigungsort genannt.</t>
  </si>
  <si>
    <t>Eigene Fertigung in NL nicht belegt, Komponenten überwiegend zugekauft (China), Website nicht erreichbar. Sitz Enschede/Hengelo uneinheitlich. Tom-Einstufung ROT bestätigt.
Verguss: Offen: Kein Beleg; Komponenten werden zugekauft, eigener Vergussprozess nicht erkennbar.</t>
  </si>
  <si>
    <t>https://www.nidv.eu/en/industry-guide/hyllus-systems-b-v/
https://mtsprout.nl/groei/hyllus-systems-drone-oekraine
https://www.careerservice.polimi.it/en/companies/12c18e92-bb25-4b02-972a-a1ff94efd4a4</t>
  </si>
  <si>
    <t>KUK Electronic AG</t>
  </si>
  <si>
    <t>Appenzell (Schweiz)</t>
  </si>
  <si>
    <t>Transformatoren, Drosseln, Mikro-/Flachdrahtspulen, Vergießen/Montage von Statoren</t>
  </si>
  <si>
    <t>Fertigung wohl DE (nicht verifiziert)  [Prüfung: Fertigung nicht belegt]</t>
  </si>
  <si>
    <t>Hauptsitz laut Suche in Appenzell, Schweiz; Gruppe mit 7 globalen Standorten, deutscher Fertigungsstandort nicht belegt. Statorverguss ist Selbstdarstellung (wirtschaftsforum). Kein Drohnen-/Humanoiden-Bezug belegt. Toms Annahme 'Fertigung wohl DE' nicht gedeckt.
Nicht verwenden: Fertigung in Deutschland; Drohnen/Humanoide-Bezug; Rolle als Kunde (eher Lohnverguss-Mitbewerber)</t>
  </si>
  <si>
    <t>https://www.wirtschaftsforum.de/kuk-electronic-ag
https://www.wirtschaftsforum.de/produkte/kuk-electronic-ag/baugruppen-elektromotor</t>
  </si>
  <si>
    <t>KUKA AG</t>
  </si>
  <si>
    <t>Augsburg</t>
  </si>
  <si>
    <t>Industrieroboter, Steuerungen, Antriebe.</t>
  </si>
  <si>
    <t>Sitz Augsburg, Midea-Eigentümer (94,55% 2017, Rest 2022); Humanoid-Bezug/Antriebsfertigung nicht belegt</t>
  </si>
  <si>
    <t>Randfall/kein Zielkunde: Verguss unwahrscheinlich (P &lt; 40 %) Keine Belege für Humanoide oder Antriebsfertigung in den Quellen.</t>
  </si>
  <si>
    <t>https://www.computer-automation.de/robotik/finales-ergebnis-des-uebernahmeangebots.htm</t>
  </si>
  <si>
    <t>Kapsch Components GmbH &amp; Co KG</t>
  </si>
  <si>
    <t>Wien</t>
  </si>
  <si>
    <t>Elektronikfertigung/EMS (Telekom, Telematik, Industrie)</t>
  </si>
  <si>
    <t>Ja: Fertigung Wien (Green Factory Auszeichnung)</t>
  </si>
  <si>
    <t>Fertigung Wien belegt (EMS, Pressemeldungen, Kapsch-Seite). Kein Drohnen-/Humanoidenbezug; die Kapsch-Leistungsliste (SMT/THT, Löten, Test, Box-Build) nennt weder Verguss noch Coating, damit kein belegbarer Vergussprozess (P von 60 auf 30 korrigiert). Als Zulieferer ohne Zielmarktbezug zurück an Stufe 1.
Nicht verwenden: Verguss/Coating als Dienstleistung (nicht belegt); Jeglicher Drohnenbezug</t>
  </si>
  <si>
    <t>https://kapsch.net/en/about-us/kco
https://www.pressetext.com/news/kapsch-mit-zwei-renommierten-unternehmenspreisen-ausgezeichnet.html
https://www.pressetext.com/news/kapsch-carriercom-insourcing-von-china-nach-sterreich.html</t>
  </si>
  <si>
    <t>Kapsch TrafficCom AG</t>
  </si>
  <si>
    <t>On-Board-Units, Strassentechnik</t>
  </si>
  <si>
    <t>Laut Drittquelle Hardware in AT und Kanada (sekundaer)</t>
  </si>
  <si>
    <t>Verguss unwahrscheinlich (P &lt; 40 %). Outdoor-Elektronik, Verguss plausibel; kein Drohnenbezug.</t>
  </si>
  <si>
    <t>https://tracenable.com/company/kapsch-trafficcom/group-entities
https://www.pressetext.com/news/kapsch-liefert-erstmalig-on-board-units-nach-norwegen.html</t>
  </si>
  <si>
    <t>Lely Industries N.V.</t>
  </si>
  <si>
    <t>Maassluis</t>
  </si>
  <si>
    <t>Melk-/Fuetterungsroboter</t>
  </si>
  <si>
    <t>Belegt: Maassluis, NL (Montage der Melkroboter)
KIVI-Besuchsbericht (2015): Hauptsitz Maassluis mit Design, Engineering und Produktion, zusätzliche Produktion in DE/USA; mtsprout: Montagelinie mit 18 Zellen in Maassluis; Wikipedia/Stellenanzeigen stützen Standort.</t>
  </si>
  <si>
    <t>Fertigung NL belegt, aber Elektronikbauteile werden überwiegend extern gefertigt, es gibt keinen Verguss-, Drohnen- oder Humanoidenbezug. Korrektur an Tom: P 0,35 liegt unter 0,40, daher ROT statt GELB.
Verguss: Unwahrscheinlich: selbst entworfene Komponenten werden laut mtsprout von Dritten gefertigt, kein Hinweis auf Verguss; Landtechnik/Melkroboter ohne erkennbaren Potting-Schwerpunkt.</t>
  </si>
  <si>
    <t>https://en.wikipedia.org/wiki/Lely_(company)
https://mtsprout.nl/leiderschap/management/hollands-glorie-de-melkrobot
https://kivi.nl/en/communities/departments/sustainable-technology/activities/company-visit-lely</t>
  </si>
  <si>
    <t>M&amp;G Antriebstechnik</t>
  </si>
  <si>
    <t>BLDC-Motoren, Getriebe</t>
  </si>
  <si>
    <t>Randfall/kein Zielkunde: Verguss unwahrscheinlich (P &lt; 40 %) Reiner Motor/Getriebe-Anbieter; Verguss unklar</t>
  </si>
  <si>
    <t>https://www.techbriefs.com/component/content/article/22941-bldc-motor</t>
  </si>
  <si>
    <t>PRO DESIGN Electronic</t>
  </si>
  <si>
    <t>Bruckmühl (Albert-Mayer-Straße 14-16, 83052 Bruckmühl)</t>
  </si>
  <si>
    <t>EMS Entwicklung bis Endprodukt</t>
  </si>
  <si>
    <t>Belegt: Bruckmühl (Bayern)
prodesign-europe.com/en/company-about: EMS-Anbieter, Produktionsfläche ca. 2.000 m2 am Standort Bruckmühl; 2025 Investition 1,5 Mio. EUR in Bestückungstechnik und Erweiterungsbau.</t>
  </si>
  <si>
    <t>Fertigung in Bruckmühl belegt, aber der Schwerpunkt liegt auf Leiterplattenbestückung und Entwicklung, ohne jeden Hinweis auf Verguss. Korrektur an Tom: P 0,35 mit GELB war inkonsistent, bei fehlendem Beleg P 0,3 und ROT (Skala unter 0,40).
Verguss: Unwahrscheinlich/offen: Website und Prospekt erwähnen weder Potting noch Conformal Coating; EMS mit SMT-Schwerpunkt (FPGA-Karten, Medizintechnik), Verguss nur auf Kundenwunsch denkbar.</t>
  </si>
  <si>
    <t>https://www.prodesign-europe.com/en/company-about
https://www.prodesign-europe.com/en/
https://www.prodesign-europe.com/files/pro_design_prospekt_2021.pdf</t>
  </si>
  <si>
    <t>RobCo GmbH</t>
  </si>
  <si>
    <t>Modulare Roboterarme als Service.</t>
  </si>
  <si>
    <t>Randfall/kein Zielkunde: Verguss unwahrscheinlich (P &lt; 40 %) Eigene Gelenkmodule möglich; nicht verifiziert.</t>
  </si>
  <si>
    <t>https://www.robco.com</t>
  </si>
  <si>
    <t>Stabilus SE</t>
  </si>
  <si>
    <t>Koblenz</t>
  </si>
  <si>
    <t>Gasfedern, elektromechanische Antriebe; Humanoid-Aktuatoren mit Synapticon.</t>
  </si>
  <si>
    <t>Belegt: Deutschland (Koblenz Stammwerk); Humanoid-Aktuatoren: Standort nicht benannt
stabilus.com: Hauptsitz Koblenz, Produktionsstandorte in Deutschland, elektromechanische Antriebe (Startseite). Humanoid-Aktuatoren nur Kooperation mit Synapticon, Kleinserie ab 2027 geplant.</t>
  </si>
  <si>
    <t>Sitz und deutsche Fertigung belegt, aber Humanoid-Bezug nur geplant, Verguss unbelegt und Konzern mit anderer Kernkompetenz (Gasfedern/Antriebe). Gegenüber Tom (GELB, P 0,35) nach Ampelregel (P&lt;0,40) ROT.
Verguss: Offen: für das Zielthema (Humanoid-Aktuatoren) kein Beleg; Elektronik kommt von Synapticon, ein Verguss bei Stabilus ist nur theoretisch denkbar.</t>
  </si>
  <si>
    <t>https://www.stabilus.com
https://www.industrial-production.de/industrieroboter/kooperation--synapticon-und-stabilus-entwickeln-aktuatoren-fuer-humanoide-roboter.htm
https://www.synapticon.com/en/newslist/synapticon-stabilus-partnerschaft</t>
  </si>
  <si>
    <t>TKMS</t>
  </si>
  <si>
    <t>Kiel</t>
  </si>
  <si>
    <t>Marine, unbemannte Systeme</t>
  </si>
  <si>
    <t>Randfall/kein Zielkunde: Randfall: Marine abgeleitet aus Produkttyp: Eher Großstrukturen; Verguss gering.</t>
  </si>
  <si>
    <t>Thyra GmbH</t>
  </si>
  <si>
    <t>Darmstadt (Landwehrstraße 55, 64293) laut Lobbyregister Bundestag, Handelsregister nicht geprüft</t>
  </si>
  <si>
    <t>Abfangdrohne Kolibri i10 (Joint Venture)</t>
  </si>
  <si>
    <t>Nicht belegt: keiner; geplant 'sichere Standorte in Deutschland' ohne Ortsangabe
Nur Absichtserklärung (14.04.2026) mit TAF Industries für ein noch zu gründendes JV (esut.de); kein Standort, keine bestehende Fertigung belegt, JV-Gründung nicht bestätigt.</t>
  </si>
  <si>
    <t>Korrektur an Tom: Sitz ist über das Lobbyregister Darmstadt (Hessen), nicht 'nicht verifiziert'. Es gibt aber keinen bestehenden Fertiger, JV nur geplant, daher ROT.
Verguss: Offen: Abfangdrohne Kolibri i10 (Elektronik) legt Verguss nahe, aber keine Fertigung vorhanden.</t>
  </si>
  <si>
    <t>https://esut.de/en/2026/04/meldungen/69975/joint-venture-thyra-taf-industries-fuer-die-produktion-von-drohnenabwehr/
https://mezha.net/eng/bukvy/taf_industries_and_thyra/
https://www.unmannedairspace.info/counter-uas-systems-and-policies/germanys-thyra-ukraines-taf-to-mass-produce-interceptor-drones-in-germany/</t>
  </si>
  <si>
    <t>Van Steen B.V.</t>
  </si>
  <si>
    <t>Wijchen</t>
  </si>
  <si>
    <t>Antriebstechnik-Service, Wicklung</t>
  </si>
  <si>
    <t>Revision/Reparatur Servo-/Elektromotoren</t>
  </si>
  <si>
    <t>Verguss unwahrscheinlich (P &lt; 40 %). Service/Rewinding; Impraegnierung moeglich.</t>
  </si>
  <si>
    <t>BRP-Rotax GmbH &amp; Co KG</t>
  </si>
  <si>
    <t>Gunskirchen</t>
  </si>
  <si>
    <t>Flugmotoren inkl. UAV (Hermes 900 laut Parlamentsdokument 'vermutlich')</t>
  </si>
  <si>
    <t>Ja: Gunskirchen (Beleg: parlamentarische Anfrage)</t>
  </si>
  <si>
    <t>Bereits im CRM, Neuakquise entfällt. Motoren/Elektrik; Verguss von Zuend-/Sensorelektronik plausibel, nicht verifiziert.</t>
  </si>
  <si>
    <t>CRM-Treffer: BRP-Rotax</t>
  </si>
  <si>
    <t>https://www.parlament.gv.at/dokument/XXVIII/J/3333/fname_1727767.pdf
https://ir.brp.com/es/node/10951</t>
  </si>
  <si>
    <t>Blue Danube Robotics (AIRSKIN)</t>
  </si>
  <si>
    <t>Taktile Sensorhaut fuer Cobots</t>
  </si>
  <si>
    <t>Insolvent 03/2025; AIRSKIN-Produkt von Quantum Holding fortgefuehrt</t>
  </si>
  <si>
    <t>Verguss unwahrscheinlich (P &lt; 40 %). Sensorik; Verguss moeglich; Firma insolvent (Status pruefen).</t>
  </si>
  <si>
    <t>https://www.trendingtopics.eu/blue-danube-robotics-startup-mit-fuehlender-roboter-haut-sperrt-zu/</t>
  </si>
  <si>
    <t>Dedrone</t>
  </si>
  <si>
    <t>Kassel (Büro; Konzern USA)</t>
  </si>
  <si>
    <t>Drohnendetektion Software/Sensorik</t>
  </si>
  <si>
    <t>Randfall/kein Zielkunde: Randfall: Software/US-Konzern abgeleitet aus Produkttyp: Eher Softwareanteil; Hardware zugekauft.</t>
  </si>
  <si>
    <t>https://www.computerwoche.de/article/2750154/drohnenabwehr-leicht-gemacht.html</t>
  </si>
  <si>
    <t>Fokker Technologies (GKN) / Fokker Elmo</t>
  </si>
  <si>
    <t>Papendrecht</t>
  </si>
  <si>
    <t>Aerostrukturen, Kabelbaeume (F-35), Fahrwerke</t>
  </si>
  <si>
    <t>Ja (Papendrecht); Serienfertigung Elmo zT in Tuerkei/China</t>
  </si>
  <si>
    <t>Verguss unwahrscheinlich (P &lt; 40 %). Kabelbaeume/Aerostrukturen: Verguss gering (Steckverbinder).</t>
  </si>
  <si>
    <t>https://en.wikipedia.org/wiki/Fokker_Technologies
https://www.flightglobal.com/fokker-elmo-to-supply-f-35-wiring-harnesses/79956.article</t>
  </si>
  <si>
    <t>Hirtenberger Defence Systems</t>
  </si>
  <si>
    <t>Hirtenberg</t>
  </si>
  <si>
    <t>Moerser, Munition, pyrotechnische Komponenten</t>
  </si>
  <si>
    <t>Ja: Produktion Hirtenberg</t>
  </si>
  <si>
    <t>Verguss unwahrscheinlich (P &lt; 40 %). Munition/Zuender: Verguss von Zuendelektronik moeglich, nicht belegt.</t>
  </si>
  <si>
    <t>https://industriemagazin.at/ruestung/ruestungsindustrie-in-oesterreich-die-maechtigsten-ruestungsunternehmen/
https://www.edrmagazine.eu/►-csg-acquires-a-49-stake-in-hirtenberger-defence-systems-and-expands-its-capabilities-in-mortar-systems-and-ammunition</t>
  </si>
  <si>
    <t>Hitzinger Electric Power GmbH</t>
  </si>
  <si>
    <t>Generatoren, Umrichter, Sonderelektromaschinen</t>
  </si>
  <si>
    <t>Linz (Altquellen); Verzeichnis nennt 'in Liquidation' -&gt; Status pruefen</t>
  </si>
  <si>
    <t>Verguss unwahrscheinlich (P &lt; 40 %). Elektromaschinenbau, Impraegnierung plausibel; Firmenstatus unklar.</t>
  </si>
  <si>
    <t>https://www.advantageaustria.org/lk/company/en/hitzinger-electric-power-gmbh
https://firmen.wko.at/hitzinger-power-solutions-gmbh/ober%c3%b6sterreich/</t>
  </si>
  <si>
    <t>Moog B.V.</t>
  </si>
  <si>
    <t>Nieuw-Vennep</t>
  </si>
  <si>
    <t>Aktuatoren (Motion), Space</t>
  </si>
  <si>
    <t>Teilweise: Montage Aktuatoren laut Mitarbeiterbericht (nicht verifiziert)  [Prüfung: Fertigung nicht belegt]</t>
  </si>
  <si>
    <t>Standort Nieuw-Vennep fokussiert auf Test-/Simulations-/Haptikprodukte (Simulatortische, G-Seats), kein Drohnen-/Humanoidenbezug; Fertigung nur über alte Mitarbeiterbewertung (2014), Verguss unbelegt. Zurück an Stufe 1.
Nicht verwenden: Aktuator-Montage in NL; Drohnen-/Humanoidenbezug; Servoventile am NL-Standort</t>
  </si>
  <si>
    <t>https://dcd.tudelft.nl/nl/bedrijven/moog-bv/
https://nl.indeed.com/cmp/Moog,-Inc
https://www.naptechniek.nl/en/op-zoek-naar/moog/</t>
  </si>
  <si>
    <t>Neugart GmbH</t>
  </si>
  <si>
    <t>Kippenheim</t>
  </si>
  <si>
    <t>Planetengetriebe, Getriebemotoren.</t>
  </si>
  <si>
    <t>Randfall/kein Zielkunde: Verguss unwahrscheinlich (P &lt; 40 %) Mechanik; Verguss nur bei Motorintegration.</t>
  </si>
  <si>
    <t>https://www.neugart.com</t>
  </si>
  <si>
    <t>Roboception GmbH</t>
  </si>
  <si>
    <t>3D-Kameras/Vision für Robotik.</t>
  </si>
  <si>
    <t>Randfall/kein Zielkunde: Verguss unwahrscheinlich (P &lt; 40 %) Sensorgehäuse/Elektronik; Verguss eher gering.</t>
  </si>
  <si>
    <t>https://roboception.com</t>
  </si>
  <si>
    <t>Würth Elektronik eiSos</t>
  </si>
  <si>
    <t>Waldenburg</t>
  </si>
  <si>
    <t>Passive Bauelemente, Induktivitäten.</t>
  </si>
  <si>
    <t>Bereits im CRM, Neuakquise entfällt (nur Lead-Ergänzung, Zuständigkeit klären). Standardbauteile; geringe Relevanz.</t>
  </si>
  <si>
    <t>CRM-Treffer (Kurzform/Konzern): Würth Elektronik</t>
  </si>
  <si>
    <t>https://www.we-online.com</t>
  </si>
  <si>
    <t>Frequentis AG</t>
  </si>
  <si>
    <t>Kommunikations-/Informationssysteme (ATC, Defence)</t>
  </si>
  <si>
    <t>Teilweise nicht verifiziert (HQ Wien, Produktionsstandort nicht belegt)</t>
  </si>
  <si>
    <t>Verguss unwahrscheinlich (P &lt; 40 %). Hauptsaechlich Systemintegration/Software; Verguss gering.</t>
  </si>
  <si>
    <t>https://www.advantageaustria.org/kr/company/en/frequentis-ag-2</t>
  </si>
  <si>
    <t>Lürssen/NVL</t>
  </si>
  <si>
    <t>Marineschiffe, unbemannte Boote</t>
  </si>
  <si>
    <t>Randfall/kein Zielkunde: Randfall: Schiffbau abgeleitet aus Produkttyp: Gering.</t>
  </si>
  <si>
    <t>Nedap N.V.</t>
  </si>
  <si>
    <t>Groenlo</t>
  </si>
  <si>
    <t>Identifikation, Zutritt, Inventar (RFID)</t>
  </si>
  <si>
    <t>Teilweise: Produktion zunehmend ausgelagert (Altartikel)</t>
  </si>
  <si>
    <t>Verguss unwahrscheinlich (P &lt; 40 %). Elektronik, Verguss moeglich, Produktion extern.</t>
  </si>
  <si>
    <t>https://mtsprout.nl/dossiers/made-in-nl/nedap-gaat-productie-uitbesteden-en-vreest-tekort-aan-talent
https://en.wikipedia.org/wiki/Nedap</t>
  </si>
  <si>
    <t>Nobleo Technology</t>
  </si>
  <si>
    <t>Mechatronik/Autonome Systeme (RUVU Robotics)</t>
  </si>
  <si>
    <t>Engineering, Fertigung nicht verifiziert</t>
  </si>
  <si>
    <t>Verguss unwahrscheinlich (P &lt; 40 %). Engineering-Dienstleister.</t>
  </si>
  <si>
    <t>https://www.cbinsights.com/company/nobleo-technology</t>
  </si>
  <si>
    <t>PFEIFFER Elektromotoren GmbH</t>
  </si>
  <si>
    <t>Reparatur und Verkauf E-Motoren</t>
  </si>
  <si>
    <t>Reparatur/Verkauf (kein Serienhersteller)</t>
  </si>
  <si>
    <t>Verguss unwahrscheinlich (P &lt; 40 %). Instandsetzung mit Wicklung, ggf. Impraegnierung; Lohnleistung moeglich.</t>
  </si>
  <si>
    <t>https://www.stepstone.at/cmp/de/pfeiffer-elektromotoren-gmbh-164167/jobs/in-%c3%96sterreichweit</t>
  </si>
  <si>
    <t>Wittmann Robot / Wittmann Group</t>
  </si>
  <si>
    <t>Industrieroboter fuer Spritzguss</t>
  </si>
  <si>
    <t>Ja: Roboterfertigung Wien (Quellen 2015-2017, veraltet)</t>
  </si>
  <si>
    <t>Verguss unwahrscheinlich (P &lt; 40 %). Kartesische Roboter mit Servoantrieben, zugekauft; Verguss gering.</t>
  </si>
  <si>
    <t>https://www.plasticstoday.com/injection-molding/updated-wittmann-expands-production-capacity-to-meet-growing-demand-for-robotics
https://www.polyformnext.de/automation/automation-is-booming---wittmann-roboter-continues-to-expand.htm</t>
  </si>
  <si>
    <t>AT&amp;S Austria Technologie &amp; Systemtechnik AG</t>
  </si>
  <si>
    <t>Leoben</t>
  </si>
  <si>
    <t>Leiterplatten, IC-Substrate</t>
  </si>
  <si>
    <t>Ja: Leoben und Fehring</t>
  </si>
  <si>
    <t>Verguss unwahrscheinlich (P &lt; 40 %). Leiterplatten: Verguss nicht Kernprozess; Zulieferer.</t>
  </si>
  <si>
    <t>https://www.trend.at/unternehmensprofile/ats
https://austria-forum.org/af/AustriaWiki/AT%26S</t>
  </si>
  <si>
    <t>Astron Electronic GmbH</t>
  </si>
  <si>
    <t>Kärnten (Ort nicht verifiziert)</t>
  </si>
  <si>
    <t>Bestueckung Prototypen und Kleinserien</t>
  </si>
  <si>
    <t>Ja laut Anbieterseite (Prototypen/Kleinserien)</t>
  </si>
  <si>
    <t>Verguss unwahrscheinlich (P &lt; 40 %). Verguss nicht erwaehnt; Kleinserien-EMS, ggf. Zuliefer-Kunde fuer Verguss.</t>
  </si>
  <si>
    <t>https://ibselectronics.com/products/astron</t>
  </si>
  <si>
    <t>Diamond Aircraft Industries</t>
  </si>
  <si>
    <t>DA62 MPP Ueberwachungsflugzeug (bemannt, kein UAV)</t>
  </si>
  <si>
    <t>Ja: Wiener Neustadt</t>
  </si>
  <si>
    <t>Verguss unwahrscheinlich (P &lt; 40 %). Flugzeugbau, Elektronik meist zugekauft; Verguss eher gering.</t>
  </si>
  <si>
    <t>https://www.diamondaircraft.com/en/about-diamond/newsroom/news/article/diamond-aircrafts-da62-mpp-special-mission-aircraft/</t>
  </si>
  <si>
    <t>ISOVOLTA AG</t>
  </si>
  <si>
    <t>Wiener Neudorf</t>
  </si>
  <si>
    <t>Elektro-Isolierstoffe, Laminate fuer Motoren/Trafos</t>
  </si>
  <si>
    <t>Ja: Wiener Neudorf, Werndorf</t>
  </si>
  <si>
    <t>Verguss unwahrscheinlich (P &lt; 40 %). Materiallieferant, kein Vergussprozess; eher Lieferant/Kunde-Umfeld.</t>
  </si>
  <si>
    <t>https://isovolta.com/history_en.php
https://isovolta.com/electrical_industry.php</t>
  </si>
  <si>
    <t>Plath GmbH</t>
  </si>
  <si>
    <t>Hamburg (PLATH GmbH &amp; Co. KG)</t>
  </si>
  <si>
    <t>Elektronische Kampfführung/Aufklärung</t>
  </si>
  <si>
    <t>Nicht belegt: nicht belegt; Elektronikfertigung läuft über die separate PLATH EFT GmbH in Norderstedt
plath.de: Hauptsitz Hamburg, weitere Standorte Gilching, Bern, Singapur; keine Produktion erwähnt. Suchtreffer: PLATH EFT GmbH (Norderstedt, Schleswig-Holstein) ist E²MS-Dienstleister der Gruppe.</t>
  </si>
  <si>
    <t>Die Website nennt keine eigene Fertigung, nur Systeme, Sensoren und Software. Tom bestätigt, ROT. Hinweis: Die Schwester PLATH EFT GmbH (Norderstedt) ist eine eigene juristische Einheit mit Elektronikfertigung und könnte separat recherchiert werden.
Verguss: Unwahrscheinlich für die Plath GmbH selbst: Systemintegrator (EW/Signalaufklärung) ohne eigene Fertigung.</t>
  </si>
  <si>
    <t>https://www.plath.de/
https://www.stepstone.de/cmp/de/plath-eft-gmbh-66219/jobs</t>
  </si>
  <si>
    <t>Quantec Services GmbH</t>
  </si>
  <si>
    <t>nicht auffindbar</t>
  </si>
  <si>
    <t>EMS, Verguss, Lackieren</t>
  </si>
  <si>
    <t>Nicht belegt: nicht auffindbar
Keine Firma dieses Namens gefunden; ähnliche Namen (QUANTEC GmbH München/Medizintechnik-Vertrieb, QUANTEC Engineering GmbH Kempten/Automatisierung, Quantec Systems GmbH Hannover/IT) sind nicht zuordenbar.</t>
  </si>
  <si>
    <t>Firma nicht auffindbar, Sitz und Fertigung nicht belegt. Tom-Einstufung ROT bestätigt.
Verguss: Offen: Kein Beleg; Angabe EMS/Verguss stammt nur aus einem Verzeichniseintrag.</t>
  </si>
  <si>
    <t>https://www.wlw.de/de/suche/vergussmassen-fuer-die-elektrotechnik
https://implisense.com/en/companies/quantec-engineering-gmbh-kempten-allgaeu-DETO1K5LT252
https://app.implisense.com/en/companies/quantec-gmbh-muenchen--DEL0T1XJMR89</t>
  </si>
  <si>
    <t>Spleenlab</t>
  </si>
  <si>
    <t>Saalburg-Ebersdorf</t>
  </si>
  <si>
    <t>KI-Autonomie/Software für Drohnen (VISIONAIRY)</t>
  </si>
  <si>
    <t>Sitz Saalburg-Ebersdorf/Jena belegt; Hardwarefertigung nicht belegt (Softwareunternehmen, von Quantum Systems übernommen April 2026)</t>
  </si>
  <si>
    <t>Randfall/kein Zielkunde: Verguss unwahrscheinlich (P &lt; 40 %) abgeleitet aus Produkttyp: Primär Software; Verguss nur bei Hardwareteil.</t>
  </si>
  <si>
    <t>https://www.produktion.de/ruestung-aerospace/quantum-systems-uebernimmt-kiprofi-spleenlab/2120918</t>
  </si>
  <si>
    <t>Steyr Motors GmbH</t>
  </si>
  <si>
    <t>Steyr</t>
  </si>
  <si>
    <t>Dieselmotoren, Motor-Generator-Einheiten fuer Leopard 2</t>
  </si>
  <si>
    <t>Ja: Steyr (Motorenfertigung laut Presse, Standortdetails nicht verifiziert)</t>
  </si>
  <si>
    <t>Verguss unwahrscheinlich (P &lt; 40 %). Motoren; Verguss eher bei Generator/Elektrik (KNDS-Gensets) denkbar, gering.</t>
  </si>
  <si>
    <t>https://militaeraktuell.at/steyr-motors-erfolgreiches-geschaeftsjahr-2025/
https://industriemagazin.at/maschinenbau/redimensionierung-steyr-motors-will-massiv-stellen-abbauen/</t>
  </si>
  <si>
    <t>United Robotics Group</t>
  </si>
  <si>
    <t>Stuhr bei Bremen (seit Sept 2025, zuvor Bochum)</t>
  </si>
  <si>
    <t>Humanoid uMe (1,20 m, ca. 30 kg), CES 2026; Insolvenz 2025 mit Neustart.</t>
  </si>
  <si>
    <t>'Made in Germany' (Eigenaussage), Fertigungsort nicht belegt; Kernkomponenten laut Ingenieur.de weitgehend von internationalen Partnern</t>
  </si>
  <si>
    <t>Randfall/kein Zielkunde: Verguss unwahrscheinlich (P &lt; 40 %) Komponenten überwiegend zugekauft; eigene Software.</t>
  </si>
  <si>
    <t>https://www.ingenieur.de/technik/fachbereiche/automation/united-robotics-group-stellt-zur-ces-neuen-roboter-auf-die-beine/
https://www.boersen-zeitung.de/unternehmen-branchen/humanoide-roboter-ziehen-in-fabriken-ein</t>
  </si>
  <si>
    <t>Watt Drive Antriebstechnik GmbH (WEG)</t>
  </si>
  <si>
    <t>Markt Piesting (Wöllersdorfer Straße 68)</t>
  </si>
  <si>
    <t>Getriebemotoren, Drehstrommotoren, Umrichter</t>
  </si>
  <si>
    <t>Ja laut Profil (Entwicklung/Produktion)</t>
  </si>
  <si>
    <t>Firma heißt seit der Umbenennung WEG Gear Systems GmbH; Standort fertigt Getriebe und Getriebemotoren (Zerspanung, Montage), eine Motorwicklung/Imprägnierung ist nicht belegt. Kein Drohnen-/Humanoidenbezug, Vergussprozess nicht belegt (P von 40 auf 15). Hinweis: Bei Aufnahme CRM-Schreibweise 'WEG Gear Systems' prüfen.
Nicht verwenden: Wicklungsimprägnierung; Name 'Watt Drive Antriebstechnik' (veraltet); Drohnenbezug</t>
  </si>
  <si>
    <t>https://www.weg.net/institutional/AM/en/news/corporate/watt-drive-antriebstechnik-receives-new-company-name
https://www.herold.at/gelbe-seiten/markt-piesting/9m1t1/weg-gear-systems-gmbh/
https://www.metalltechnischeindustrie.at/en/firms-products/details/weg-gear-systems-gmbh/
https://www.tradearabia.com/news/OGN_345661.html</t>
  </si>
  <si>
    <t>ams OSRAM AG</t>
  </si>
  <si>
    <t>Premstätten</t>
  </si>
  <si>
    <t>Sensor-ICs, LEDs, Laser</t>
  </si>
  <si>
    <t>Ja: Halbleiterfertigung Premstaetten (Stellenanzeige, nicht verifiziert im Detail)</t>
  </si>
  <si>
    <t>Bereits im CRM, Neuakquise entfällt. Halbleiter/Opto; Verguss auf Package-Ebene, nicht Zielgruppe.</t>
  </si>
  <si>
    <t>CRM-Treffer: ams OSRAM AG (INFINEON)</t>
  </si>
  <si>
    <t>https://boerse-express.com/boerse/aktie/ams-ag+tts-1524062/firmenprofil</t>
  </si>
  <si>
    <t>Centrion Systems</t>
  </si>
  <si>
    <t>nicht ermittelt (Niederlande laut Messeseite)</t>
  </si>
  <si>
    <t>BLDC-Motoren für unbemannte Systeme</t>
  </si>
  <si>
    <t>EU-Fertigung behauptet; DE-Standort nicht verifiziert  [Prüfung: Fertigung nicht belegt]</t>
  </si>
  <si>
    <t>Die ExpoUAV-Seite nennt den BLDC-Motor 5006 als in den Niederlanden entworfen und gefertigt, die Firmierung passt zu B.V.; ein deutscher Sitz oder Fertigung ist nicht belegt. Damit keine Fertigung in Deutschland, Rückgabe an Stufe 1.
Nicht verwenden: Fertigung in Deutschland/EU-Standort DE; Gebiet 'Rest Deutschland'; Stator-Verguss (nicht belegt)</t>
  </si>
  <si>
    <t>https://www.expouav.com/5006-motor/
https://f4.fund/startups/centrionsystems</t>
  </si>
  <si>
    <t>ELANTAS GmbH</t>
  </si>
  <si>
    <t>Wesel (nicht verifiziert)</t>
  </si>
  <si>
    <t>Imprägnierharze/Vergussmassen (Lieferant, nicht Anwender)</t>
  </si>
  <si>
    <t>FACC AG</t>
  </si>
  <si>
    <t>Ried im Innkreis</t>
  </si>
  <si>
    <t>Composite-Leichtbau Aerospace, AAM</t>
  </si>
  <si>
    <t>Ja: Werke in OÖ (Ried, Ort, Reichersberg, St. Martin)</t>
  </si>
  <si>
    <t>Verguss unwahrscheinlich (P &lt; 40 %). Faserverbund, Harzinfusion/RTM statt Elektronikverguss; Drohnen nicht verifiziert.</t>
  </si>
  <si>
    <t>https://www.oberoesterreich.at/oesterreich-poi/detail/430028833/facc-ag.html?type=2026
https://www.journal-aviation.com/en/news/facc</t>
  </si>
  <si>
    <t>Fraunhofer-Institute</t>
  </si>
  <si>
    <t>div.</t>
  </si>
  <si>
    <t>Forschung C-UAS</t>
  </si>
  <si>
    <t>nicht Firma</t>
  </si>
  <si>
    <t>Bereits im CRM, Neuakquise entfällt (nur Lead-Ergänzung, Zuständigkeit klären). Kein Fertigungsbetrieb</t>
  </si>
  <si>
    <t>CRM-Treffer (Kurzform/Konzern): Fraunhofer Institute for Machine Tools and Forming Technology IWU</t>
  </si>
  <si>
    <t>Infineon Technologies</t>
  </si>
  <si>
    <t>Neubiberg</t>
  </si>
  <si>
    <t>Leistungshalbleiter, Motor-Treiber-ICs.</t>
  </si>
  <si>
    <t>Bereits im CRM, Neuakquise entfällt (nur Lead-Ergänzung, Zuständigkeit klären). Chiphersteller; Vergussprozess der Kunden, nicht eigener Bauteile (Moduleinbettung eigene Linie).</t>
  </si>
  <si>
    <t>CRM-Treffer: Infineon Technologies AG</t>
  </si>
  <si>
    <t>https://www.infineon.com</t>
  </si>
  <si>
    <t>Mercedes-Benz</t>
  </si>
  <si>
    <t>Stuttgart</t>
  </si>
  <si>
    <t>Fahrzeuge für Abfangdrohnen-Launcher</t>
  </si>
  <si>
    <t>Nein (Trägerfahrzeug für Tytan 'Drone Defender')</t>
  </si>
  <si>
    <t>Bereits im CRM, Neuakquise entfällt (nur Lead-Ergänzung, Zuständigkeit klären). Kein Drohnenhersteller.</t>
  </si>
  <si>
    <t>CRM-Treffer (Kurzform/Konzern): Mercedes</t>
  </si>
  <si>
    <t>https://www.boersen-zeitung.de/unternehmen-branchen/mercedes-verbuendet-sich-mit-start-up-fuer-drohnenabwehr</t>
  </si>
  <si>
    <t>Navel Robotics</t>
  </si>
  <si>
    <t>Sozialer Begleitroboter für Kliniken (laut Roboterradar-Zusammenfassung).</t>
  </si>
  <si>
    <t>Randfall/kein Zielkunde: Verguss unwahrscheinlich (P &lt; 40 %) Kein Humanoid im engeren Sinn; nur Sekundärquelle.</t>
  </si>
  <si>
    <t>https://de.euronews.com/my-europe/2026/04/27/humanoide-roboter-fachkraeftemangel-siemens-hannover-merz</t>
  </si>
  <si>
    <t>Nexperia B.V.</t>
  </si>
  <si>
    <t>Nijmegen</t>
  </si>
  <si>
    <t>Halbleiter (Diskrete, MOSFETs)</t>
  </si>
  <si>
    <t>Ja: Nijmegen (Verwaltungs-/Fertigung; Detail nicht verifiziert)</t>
  </si>
  <si>
    <t>Verguss unwahrscheinlich (P &lt; 40 %). Halbleiter; Verguss nicht Zielgruppe.</t>
  </si>
  <si>
    <t>https://www.nexperia.com/about/worldwide-locations
https://en.wikipedia.org/wiki/Nexperia</t>
  </si>
  <si>
    <t>Nordic Unmanned</t>
  </si>
  <si>
    <t>Norwegen</t>
  </si>
  <si>
    <t>UAS-Dienstleister/Erwerber AirRobot</t>
  </si>
  <si>
    <t>Nein (AirRobot-Verkauf laut GvW)</t>
  </si>
  <si>
    <t>Randfall/kein Zielkunde: Randfall: Nicht-DE, Norwegen Nicht-DE; Eigentümerrolle bei AirRobot.</t>
  </si>
  <si>
    <t>https://www.gvw.com/aktuelles/pressemitteilungen/detail/drohnentechnologie-gvw-graf-von-westphalen-begleitet-gesellschafter-beim-verkauf-von-airrobot-an-nordic-unmanned</t>
  </si>
  <si>
    <t>Sereact GmbH</t>
  </si>
  <si>
    <t>KI-Software für Robotik, Humanoid-Projekt.</t>
  </si>
  <si>
    <t>Software-Firma; keine Humanoid-Hardwarefertigung belegt (Stellenanzeige Hardware R&amp;D Lead Stuttgart)</t>
  </si>
  <si>
    <t>Randfall/kein Zielkunde: Verguss unwahrscheinlich (P &lt; 40 %) 'Wir bauen keine Roboter' (Mitgründer Gulde); Series B 110 Mio USD (Headline).</t>
  </si>
  <si>
    <t>https://www.drweb.de/110-millionen-fuer-stuttgarts-roboterhirn/
https://jobs.pointnine.com/companies/sereact-2/jobs/77554622-hardware-r-d-lead</t>
  </si>
  <si>
    <t>TTTech Auto AG</t>
  </si>
  <si>
    <t>Safe-Software/Hardware-Plattformen fuer automatisiertes Fahren</t>
  </si>
  <si>
    <t>Nicht verifiziert (Software/Plattformen; Fertigung wohl extern)</t>
  </si>
  <si>
    <t>Verguss unwahrscheinlich (P &lt; 40 %). Eher Software/Entwicklung; externe EMS.</t>
  </si>
  <si>
    <t>https://www.weforum.org/organizations/tttech-auto-ag</t>
  </si>
  <si>
    <t>Droniq</t>
  </si>
  <si>
    <t>Frankfurt</t>
  </si>
  <si>
    <t>UTM/Drohnenverkehrsmanagement</t>
  </si>
  <si>
    <t>nein (Dienstleister UTM)</t>
  </si>
  <si>
    <t>Randfall/kein Zielkunde: Randfall: Dienstleister abgeleitet aus Produkttyp: Dienstleistung, kein Verguss.</t>
  </si>
  <si>
    <t>Humanoid Application Center (MICS Schiedam)</t>
  </si>
  <si>
    <t>Schiedam</t>
  </si>
  <si>
    <t>Demonstration/Test humanoider Roboter</t>
  </si>
  <si>
    <t>Kein Hersteller - Innovationszentrum (Opening 2.7.2026)</t>
  </si>
  <si>
    <t>Verguss unwahrscheinlich (P &lt; 40 %). Zentrum fuer Einsatz, nicht Fertigung; nur als Lead-Quelle.</t>
  </si>
  <si>
    <t>https://ioplus.nl/en/posts/humanoid-application-center-opens-at-mics-in-schiedam
https://www.roboticstomorrow.com/news/2026/07/02/first-humanoid-application-centre-in-the-netherlands-opened-at-mics-humanoid-robots-from-demo-to-practical-application-/26800/</t>
  </si>
  <si>
    <t>Scheugenpflug (Atlas Copco)</t>
  </si>
  <si>
    <t>Wettbewerber</t>
  </si>
  <si>
    <t>Neustadt a.d. Donau</t>
  </si>
  <si>
    <t>Dosier-/Vakuumvergussanlagen</t>
  </si>
  <si>
    <t>Beleg: Dosieranlagen Vakuumverguss (Quelle)</t>
  </si>
  <si>
    <t>Bereits im CRM, Neuakquise entfällt. Randfall/kein Zielkunde: Wettbewerber Anlagenbauer, Wettbewerber, kein Anwender</t>
  </si>
  <si>
    <t>CRM-Treffer (Kurzform): A: Scheugenpflug</t>
  </si>
  <si>
    <t>https://www.industrial-production.de/hydraulik---pneumatik/klebetechnik-und-vakuumverguss-atlas-copco-plant-uebernahme-von-scheugenpflug.htm</t>
  </si>
  <si>
    <t>Lilium (RANDFALL: stillgelegt)</t>
  </si>
  <si>
    <t>Gilching</t>
  </si>
  <si>
    <t>eVTOL-Jet</t>
  </si>
  <si>
    <t>Nein: Lilium meldete Feb. 2025 zweite Insolvenz und stellte den Betrieb ein; Nachfolger nicht gefunden</t>
  </si>
  <si>
    <t>Bereits im CRM, Neuakquise entfällt (nur Lead-Ergänzung, Zuständigkeit klären). Betrieb eingestellt (Feb 2025); Übernahme-Deal Mobile Uplift scheiterte.</t>
  </si>
  <si>
    <t>CRM-Treffer: Lilium</t>
  </si>
  <si>
    <t>https://www.flightglobal.com/aerospace/lilium-subsidiaries-file-for-insolvency/160500.article
https://www.revolution.aero/?p=8635</t>
  </si>
  <si>
    <t>Boston Dynamics / Hyundai (Atlas) - Beziehung zu DE</t>
  </si>
  <si>
    <t>USA (Büro nahe Frankfurt bei Hyundai WIA)</t>
  </si>
  <si>
    <t>Humanoid Atlas; EU-Büro nur für Spot-Vertrieb/Service.</t>
  </si>
  <si>
    <t>Keine europäische Fertigung/EU-Aktuatorzulieferer belegt; Aktuatoren von Hyundai Mobis (Korea), Roboterfabrik geplant bei Savannah, Georgia</t>
  </si>
  <si>
    <t>Randfall/kein Zielkunde: Verguss unwahrscheinlich (P &lt; 40 %) Kein Hyundai-/Boston-Zulieferer in DE belegt.</t>
  </si>
  <si>
    <t>https://www.nasdaq.com/articles/hyundai-mobis-supply-actuators-boston-dynamics
https://bostondynamics.com/blog/boston-dynamics-opens-first-european-office/</t>
  </si>
  <si>
    <t>NiniX</t>
  </si>
  <si>
    <t>Brügge (Brugge)</t>
  </si>
  <si>
    <t>Potting, Overmolding, Elektronik-Contract-Manufacturing (IATF 16949)</t>
  </si>
  <si>
    <t>Potting/Overmolding in NL laut FHI-Profil; Ort nicht verifiziert  [Prüfung: Fertigung nicht belegt]</t>
  </si>
  <si>
    <t>Korrektur: NiniX Technologies NV sitzt in Brugge, Belgien (Kleine Monnikenwerve 9), kein NL-Standort gefunden; damit nicht NL/DE/AT und Fertigung im Land nicht belegt. Kein Drohnenbezug. Potting-Kompetenz real, aber außerhalb des Zielgebiets.
Nicht verwenden: Sitz in Niederlanden; Fertigung in NL; Vakuumverguss</t>
  </si>
  <si>
    <t>https://fhi.nl/nieuws/overmold-potting-for-harsh-environment/
https://htpgids.mikrocentrum.nl/preview.php?pageId=369
https://ethercat.org/en/members/members_6BC804C94EB44D3A89DDF49743A02A97.htm</t>
  </si>
  <si>
    <t>Gebiet Baden-Württemberg – Drohnen &amp; Humanoide</t>
  </si>
  <si>
    <t>Gebiet Bayern – Drohnen &amp; Humanoide</t>
  </si>
  <si>
    <t>Gebiet Österreich – Drohnen &amp; Humanoide</t>
  </si>
  <si>
    <t>Gebiet Rest Deutschland + Niederlande (inkl. Sitz unklar) – Drohnen &amp; Humanoide</t>
  </si>
  <si>
    <t>Ohne DE/AT/NL-Bezug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</si>
</sst>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3864"/>
      <name val="Calibri"/>
    </font>
    <font>
      <i/>
      <sz val="11"/>
      <color rgb="FF595959"/>
      <name val="Calibri"/>
    </font>
    <font>
      <b/>
      <sz val="11"/>
      <color rgb="FFFFFFFF"/>
      <name val="Calibri"/>
    </font>
    <font>
      <b/>
      <sz val="11"/>
      <color rgb="FF006100"/>
      <name val="Calibri"/>
    </font>
    <font>
      <b/>
      <sz val="11"/>
      <color rgb="FF7F6000"/>
      <name val="Calibri"/>
    </font>
    <font>
      <b/>
      <sz val="11"/>
      <color rgb="FF9C0006"/>
      <name val="Calibri"/>
    </font>
    <font>
      <b/>
      <sz val="16"/>
      <color rgb="FF1F3864"/>
      <name val="Calibri"/>
    </font>
    <font>
      <b/>
      <sz val="11"/>
      <name val="Calibri"/>
    </font>
    <font>
      <b/>
      <sz val="12"/>
      <color rgb="FF1F3864"/>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4B6B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7" fillId="0" borderId="0" xfId="0" applyFont="1"/>
    <xf numFmtId="0" fontId="2" fillId="0" borderId="0" xfId="0" applyFont="1"/>
    <xf numFmtId="0" fontId="3" fillId="2" borderId="1" xfId="0" applyFont="1" applyFill="1" applyBorder="1" applyAlignment="1">
      <alignment horizontal="center" wrapText="1"/>
    </xf>
    <xf numFmtId="0" fontId="4" fillId="3" borderId="1" xfId="0" applyFont="1" applyFill="1" applyBorder="1" applyAlignment="1">
      <alignment horizontal="left" vertical="center" wrapText="1"/>
    </xf>
    <xf numFmtId="0" fontId="0" fillId="0" borderId="1" xfId="0" applyBorder="1" applyAlignment="1">
      <alignment horizontal="center" vertical="center" wrapText="1"/>
    </xf>
    <xf numFmtId="9"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pplyAlignment="1">
      <alignment horizontal="left"/>
    </xf>
    <xf numFmtId="0" fontId="0" fillId="0" borderId="1" xfId="0" applyBorder="1" applyAlignment="1">
      <alignment horizontal="center"/>
    </xf>
    <xf numFmtId="0" fontId="9" fillId="0" borderId="0" xfId="0" applyFont="1"/>
    <xf numFmtId="0" fontId="0" fillId="0" borderId="1" xfId="0" applyBorder="1" applyAlignment="1">
      <alignment horizontal="left" vertical="top" wrapText="1"/>
    </xf>
    <xf numFmtId="9" fontId="0" fillId="0" borderId="1" xfId="0" applyNumberFormat="1" applyBorder="1" applyAlignment="1">
      <alignment horizontal="center" vertical="top" wrapText="1"/>
    </xf>
    <xf numFmtId="0" fontId="4"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1"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center" vertical="top" wrapText="1"/>
    </xf>
    <xf numFmtId="0" fontId="6" fillId="5" borderId="1" xfId="0" applyFont="1" applyFill="1" applyBorder="1" applyAlignment="1">
      <alignment horizontal="center"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46"/>
  <sheetViews>
    <sheetView showGridLines="0" workbookViewId="0"/>
  </sheetViews>
  <sheetFormatPr defaultRowHeight="15" x14ac:dyDescent="0.25"/>
  <cols>
    <col min="1" max="1" width="3" customWidth="1"/>
    <col min="2" max="2" width="34" customWidth="1"/>
    <col min="3" max="3" width="12" customWidth="1"/>
    <col min="4" max="4" width="28" customWidth="1"/>
    <col min="5" max="5" width="16" customWidth="1"/>
    <col min="6" max="6" width="70" customWidth="1"/>
  </cols>
  <sheetData>
    <row r="1" spans="2:6" ht="21" x14ac:dyDescent="0.35">
      <c r="B1" s="1" t="s">
        <v>0</v>
      </c>
    </row>
    <row r="2" spans="2:6" x14ac:dyDescent="0.25">
      <c r="B2" s="2" t="s">
        <v>1</v>
      </c>
    </row>
    <row r="4" spans="2:6" x14ac:dyDescent="0.25">
      <c r="B4" s="3" t="s">
        <v>2</v>
      </c>
      <c r="C4" s="3" t="s">
        <v>3</v>
      </c>
      <c r="D4" s="3" t="s">
        <v>4</v>
      </c>
      <c r="E4" s="3"/>
      <c r="F4" s="3" t="s">
        <v>5</v>
      </c>
    </row>
    <row r="5" spans="2:6" ht="32.1" customHeight="1" x14ac:dyDescent="0.25">
      <c r="B5" s="4" t="s">
        <v>6</v>
      </c>
      <c r="C5" s="5">
        <f>COUNTIF(Ergebnisliste!$G$5:$G$500,B5)</f>
        <v>4</v>
      </c>
      <c r="D5" s="6">
        <f>C5/$C$8</f>
        <v>2.0618556701030927E-2</v>
      </c>
      <c r="E5" s="5"/>
      <c r="F5" s="7" t="s">
        <v>7</v>
      </c>
    </row>
    <row r="6" spans="2:6" ht="32.1" customHeight="1" x14ac:dyDescent="0.25">
      <c r="B6" s="8" t="s">
        <v>8</v>
      </c>
      <c r="C6" s="5">
        <f>COUNTIF(Ergebnisliste!$G$5:$G$500,B6)</f>
        <v>41</v>
      </c>
      <c r="D6" s="6">
        <f>C6/$C$8</f>
        <v>0.21134020618556701</v>
      </c>
      <c r="E6" s="5"/>
      <c r="F6" s="7" t="s">
        <v>9</v>
      </c>
    </row>
    <row r="7" spans="2:6" ht="32.1" customHeight="1" x14ac:dyDescent="0.25">
      <c r="B7" s="9" t="s">
        <v>10</v>
      </c>
      <c r="C7" s="5">
        <f>COUNTIF(Ergebnisliste!$G$5:$G$500,B7)</f>
        <v>149</v>
      </c>
      <c r="D7" s="6">
        <f>C7/$C$8</f>
        <v>0.76804123711340211</v>
      </c>
      <c r="E7" s="5"/>
      <c r="F7" s="7" t="s">
        <v>11</v>
      </c>
    </row>
    <row r="8" spans="2:6" ht="32.1" customHeight="1" x14ac:dyDescent="0.25">
      <c r="B8" s="10" t="s">
        <v>12</v>
      </c>
      <c r="C8" s="5">
        <f>SUM(C5:C7)</f>
        <v>194</v>
      </c>
      <c r="D8" s="6">
        <f>SUM(D5:D7)</f>
        <v>1</v>
      </c>
      <c r="E8" s="5"/>
      <c r="F8" s="7"/>
    </row>
    <row r="10" spans="2:6" x14ac:dyDescent="0.25">
      <c r="B10" s="3" t="s">
        <v>13</v>
      </c>
      <c r="C10" s="3" t="s">
        <v>6</v>
      </c>
      <c r="D10" s="3" t="s">
        <v>8</v>
      </c>
      <c r="E10" s="3" t="s">
        <v>10</v>
      </c>
      <c r="F10" s="3" t="s">
        <v>12</v>
      </c>
    </row>
    <row r="11" spans="2:6" x14ac:dyDescent="0.25">
      <c r="B11" s="11" t="s">
        <v>14</v>
      </c>
      <c r="C11" s="12">
        <v>0</v>
      </c>
      <c r="D11" s="12">
        <v>5</v>
      </c>
      <c r="E11" s="12">
        <v>27</v>
      </c>
      <c r="F11" s="12">
        <f>SUM(C11:E11)</f>
        <v>32</v>
      </c>
    </row>
    <row r="12" spans="2:6" x14ac:dyDescent="0.25">
      <c r="B12" s="11" t="s">
        <v>15</v>
      </c>
      <c r="C12" s="12">
        <v>1</v>
      </c>
      <c r="D12" s="12">
        <v>12</v>
      </c>
      <c r="E12" s="12">
        <v>32</v>
      </c>
      <c r="F12" s="12">
        <f>SUM(C12:E12)</f>
        <v>45</v>
      </c>
    </row>
    <row r="13" spans="2:6" x14ac:dyDescent="0.25">
      <c r="B13" s="11" t="s">
        <v>16</v>
      </c>
      <c r="C13" s="12">
        <v>1</v>
      </c>
      <c r="D13" s="12">
        <v>4</v>
      </c>
      <c r="E13" s="12">
        <v>29</v>
      </c>
      <c r="F13" s="12">
        <f>SUM(C13:E13)</f>
        <v>34</v>
      </c>
    </row>
    <row r="14" spans="2:6" x14ac:dyDescent="0.25">
      <c r="B14" s="11" t="s">
        <v>17</v>
      </c>
      <c r="C14" s="12">
        <v>2</v>
      </c>
      <c r="D14" s="12">
        <v>20</v>
      </c>
      <c r="E14" s="12">
        <v>59</v>
      </c>
      <c r="F14" s="12">
        <f>SUM(C14:E14)</f>
        <v>81</v>
      </c>
    </row>
    <row r="15" spans="2:6" x14ac:dyDescent="0.25">
      <c r="B15" s="11" t="s">
        <v>18</v>
      </c>
      <c r="C15" s="12">
        <v>0</v>
      </c>
      <c r="D15" s="12">
        <v>0</v>
      </c>
      <c r="E15" s="12">
        <v>2</v>
      </c>
      <c r="F15" s="12">
        <f>SUM(C15:E15)</f>
        <v>2</v>
      </c>
    </row>
    <row r="16" spans="2:6" x14ac:dyDescent="0.25">
      <c r="B16" s="2" t="s">
        <v>19</v>
      </c>
    </row>
    <row r="18" spans="2:6" ht="15.75" x14ac:dyDescent="0.25">
      <c r="B18" s="13" t="s">
        <v>20</v>
      </c>
    </row>
    <row r="19" spans="2:6" x14ac:dyDescent="0.25">
      <c r="B19" s="3" t="s">
        <v>21</v>
      </c>
      <c r="C19" s="3" t="s">
        <v>22</v>
      </c>
      <c r="D19" s="3" t="s">
        <v>13</v>
      </c>
      <c r="E19" s="3" t="s">
        <v>2</v>
      </c>
      <c r="F19" s="3" t="s">
        <v>23</v>
      </c>
    </row>
    <row r="20" spans="2:6" ht="32.1" customHeight="1" x14ac:dyDescent="0.25">
      <c r="B20" s="14" t="s">
        <v>24</v>
      </c>
      <c r="C20" s="15">
        <v>0.95</v>
      </c>
      <c r="D20" s="14" t="s">
        <v>15</v>
      </c>
      <c r="E20" s="16" t="s">
        <v>6</v>
      </c>
      <c r="F20" s="14" t="s">
        <v>25</v>
      </c>
    </row>
    <row r="21" spans="2:6" ht="32.1" customHeight="1" x14ac:dyDescent="0.25">
      <c r="B21" s="14" t="s">
        <v>26</v>
      </c>
      <c r="C21" s="15">
        <v>0.9</v>
      </c>
      <c r="D21" s="14" t="s">
        <v>27</v>
      </c>
      <c r="E21" s="16" t="s">
        <v>6</v>
      </c>
      <c r="F21" s="14" t="s">
        <v>28</v>
      </c>
    </row>
    <row r="22" spans="2:6" ht="32.1" customHeight="1" x14ac:dyDescent="0.25">
      <c r="B22" s="14" t="s">
        <v>29</v>
      </c>
      <c r="C22" s="15">
        <v>0.8</v>
      </c>
      <c r="D22" s="14" t="s">
        <v>16</v>
      </c>
      <c r="E22" s="16" t="s">
        <v>6</v>
      </c>
      <c r="F22" s="14" t="s">
        <v>30</v>
      </c>
    </row>
    <row r="23" spans="2:6" ht="32.1" customHeight="1" x14ac:dyDescent="0.25">
      <c r="B23" s="14" t="s">
        <v>31</v>
      </c>
      <c r="C23" s="15">
        <v>0.8</v>
      </c>
      <c r="D23" s="14" t="s">
        <v>32</v>
      </c>
      <c r="E23" s="16" t="s">
        <v>6</v>
      </c>
      <c r="F23" s="14" t="s">
        <v>33</v>
      </c>
    </row>
    <row r="24" spans="2:6" ht="32.1" customHeight="1" x14ac:dyDescent="0.25">
      <c r="B24" s="14" t="s">
        <v>34</v>
      </c>
      <c r="C24" s="15">
        <v>0.7</v>
      </c>
      <c r="D24" s="14" t="s">
        <v>32</v>
      </c>
      <c r="E24" s="17" t="s">
        <v>8</v>
      </c>
      <c r="F24" s="14" t="s">
        <v>35</v>
      </c>
    </row>
    <row r="25" spans="2:6" ht="32.1" customHeight="1" x14ac:dyDescent="0.25">
      <c r="B25" s="14" t="s">
        <v>36</v>
      </c>
      <c r="C25" s="15">
        <v>0.7</v>
      </c>
      <c r="D25" s="14" t="s">
        <v>15</v>
      </c>
      <c r="E25" s="17" t="s">
        <v>8</v>
      </c>
      <c r="F25" s="14" t="s">
        <v>37</v>
      </c>
    </row>
    <row r="26" spans="2:6" ht="32.1" customHeight="1" x14ac:dyDescent="0.25">
      <c r="B26" s="14" t="s">
        <v>38</v>
      </c>
      <c r="C26" s="15">
        <v>0.65</v>
      </c>
      <c r="D26" s="14" t="s">
        <v>39</v>
      </c>
      <c r="E26" s="17" t="s">
        <v>8</v>
      </c>
      <c r="F26" s="14" t="s">
        <v>40</v>
      </c>
    </row>
    <row r="27" spans="2:6" ht="32.1" customHeight="1" x14ac:dyDescent="0.25">
      <c r="B27" s="14" t="s">
        <v>41</v>
      </c>
      <c r="C27" s="15">
        <v>0.65</v>
      </c>
      <c r="D27" s="14" t="s">
        <v>27</v>
      </c>
      <c r="E27" s="17" t="s">
        <v>8</v>
      </c>
      <c r="F27" s="14" t="s">
        <v>42</v>
      </c>
    </row>
    <row r="28" spans="2:6" ht="32.1" customHeight="1" x14ac:dyDescent="0.25">
      <c r="B28" s="14" t="s">
        <v>43</v>
      </c>
      <c r="C28" s="15">
        <v>0.65</v>
      </c>
      <c r="D28" s="14" t="s">
        <v>15</v>
      </c>
      <c r="E28" s="17" t="s">
        <v>8</v>
      </c>
      <c r="F28" s="14" t="s">
        <v>44</v>
      </c>
    </row>
    <row r="29" spans="2:6" ht="32.1" customHeight="1" x14ac:dyDescent="0.25">
      <c r="B29" s="14" t="s">
        <v>45</v>
      </c>
      <c r="C29" s="15">
        <v>0.6</v>
      </c>
      <c r="D29" s="14" t="s">
        <v>27</v>
      </c>
      <c r="E29" s="17" t="s">
        <v>8</v>
      </c>
      <c r="F29" s="14" t="s">
        <v>46</v>
      </c>
    </row>
    <row r="30" spans="2:6" ht="32.1" customHeight="1" x14ac:dyDescent="0.25">
      <c r="B30" s="14" t="s">
        <v>47</v>
      </c>
      <c r="C30" s="15">
        <v>0.6</v>
      </c>
      <c r="D30" s="14" t="s">
        <v>27</v>
      </c>
      <c r="E30" s="17" t="s">
        <v>8</v>
      </c>
      <c r="F30" s="14" t="s">
        <v>48</v>
      </c>
    </row>
    <row r="31" spans="2:6" ht="32.1" customHeight="1" x14ac:dyDescent="0.25">
      <c r="B31" s="14" t="s">
        <v>49</v>
      </c>
      <c r="C31" s="15">
        <v>0.6</v>
      </c>
      <c r="D31" s="14" t="s">
        <v>15</v>
      </c>
      <c r="E31" s="17" t="s">
        <v>8</v>
      </c>
      <c r="F31" s="14" t="s">
        <v>50</v>
      </c>
    </row>
    <row r="32" spans="2:6" ht="32.1" customHeight="1" x14ac:dyDescent="0.25">
      <c r="B32" s="14" t="s">
        <v>51</v>
      </c>
      <c r="C32" s="15">
        <v>0.6</v>
      </c>
      <c r="D32" s="14" t="s">
        <v>32</v>
      </c>
      <c r="E32" s="17" t="s">
        <v>8</v>
      </c>
      <c r="F32" s="14" t="s">
        <v>52</v>
      </c>
    </row>
    <row r="33" spans="2:6" ht="32.1" customHeight="1" x14ac:dyDescent="0.25">
      <c r="B33" s="14" t="s">
        <v>53</v>
      </c>
      <c r="C33" s="15">
        <v>0.55000000000000004</v>
      </c>
      <c r="D33" s="14" t="s">
        <v>15</v>
      </c>
      <c r="E33" s="17" t="s">
        <v>8</v>
      </c>
      <c r="F33" s="14" t="s">
        <v>54</v>
      </c>
    </row>
    <row r="34" spans="2:6" ht="32.1" customHeight="1" x14ac:dyDescent="0.25">
      <c r="B34" s="14" t="s">
        <v>55</v>
      </c>
      <c r="C34" s="15">
        <v>0.55000000000000004</v>
      </c>
      <c r="D34" s="14" t="s">
        <v>32</v>
      </c>
      <c r="E34" s="17" t="s">
        <v>8</v>
      </c>
      <c r="F34" s="14" t="s">
        <v>56</v>
      </c>
    </row>
    <row r="35" spans="2:6" ht="32.1" customHeight="1" x14ac:dyDescent="0.25">
      <c r="B35" s="14" t="s">
        <v>57</v>
      </c>
      <c r="C35" s="15">
        <v>0.55000000000000004</v>
      </c>
      <c r="D35" s="14" t="s">
        <v>15</v>
      </c>
      <c r="E35" s="17" t="s">
        <v>8</v>
      </c>
      <c r="F35" s="14" t="s">
        <v>58</v>
      </c>
    </row>
    <row r="36" spans="2:6" ht="32.1" customHeight="1" x14ac:dyDescent="0.25">
      <c r="B36" s="14" t="s">
        <v>59</v>
      </c>
      <c r="C36" s="15">
        <v>0.5</v>
      </c>
      <c r="D36" s="14" t="s">
        <v>14</v>
      </c>
      <c r="E36" s="17" t="s">
        <v>8</v>
      </c>
      <c r="F36" s="14" t="s">
        <v>60</v>
      </c>
    </row>
    <row r="37" spans="2:6" ht="32.1" customHeight="1" x14ac:dyDescent="0.25">
      <c r="B37" s="14" t="s">
        <v>61</v>
      </c>
      <c r="C37" s="15">
        <v>0.5</v>
      </c>
      <c r="D37" s="14" t="s">
        <v>15</v>
      </c>
      <c r="E37" s="17" t="s">
        <v>8</v>
      </c>
      <c r="F37" s="14" t="s">
        <v>62</v>
      </c>
    </row>
    <row r="38" spans="2:6" ht="32.1" customHeight="1" x14ac:dyDescent="0.25">
      <c r="B38" s="14" t="s">
        <v>63</v>
      </c>
      <c r="C38" s="15">
        <v>0.5</v>
      </c>
      <c r="D38" s="14" t="s">
        <v>15</v>
      </c>
      <c r="E38" s="17" t="s">
        <v>8</v>
      </c>
      <c r="F38" s="14" t="s">
        <v>64</v>
      </c>
    </row>
    <row r="40" spans="2:6" ht="15.75" x14ac:dyDescent="0.25">
      <c r="B40" s="13" t="s">
        <v>65</v>
      </c>
    </row>
    <row r="41" spans="2:6" ht="48" customHeight="1" x14ac:dyDescent="0.25">
      <c r="B41" s="22" t="s">
        <v>66</v>
      </c>
      <c r="C41" s="23"/>
      <c r="D41" s="23"/>
      <c r="E41" s="23"/>
      <c r="F41" s="23"/>
    </row>
    <row r="42" spans="2:6" ht="48" customHeight="1" x14ac:dyDescent="0.25">
      <c r="B42" s="22" t="s">
        <v>67</v>
      </c>
      <c r="C42" s="23"/>
      <c r="D42" s="23"/>
      <c r="E42" s="23"/>
      <c r="F42" s="23"/>
    </row>
    <row r="43" spans="2:6" ht="48" customHeight="1" x14ac:dyDescent="0.25">
      <c r="B43" s="22" t="s">
        <v>68</v>
      </c>
      <c r="C43" s="23"/>
      <c r="D43" s="23"/>
      <c r="E43" s="23"/>
      <c r="F43" s="23"/>
    </row>
    <row r="44" spans="2:6" ht="48" customHeight="1" x14ac:dyDescent="0.25">
      <c r="B44" s="22" t="s">
        <v>69</v>
      </c>
      <c r="C44" s="23"/>
      <c r="D44" s="23"/>
      <c r="E44" s="23"/>
      <c r="F44" s="23"/>
    </row>
    <row r="45" spans="2:6" ht="48" customHeight="1" x14ac:dyDescent="0.25">
      <c r="B45" s="22" t="s">
        <v>70</v>
      </c>
      <c r="C45" s="23"/>
      <c r="D45" s="23"/>
      <c r="E45" s="23"/>
      <c r="F45" s="23"/>
    </row>
    <row r="46" spans="2:6" ht="48" customHeight="1" x14ac:dyDescent="0.25">
      <c r="B46" s="22" t="s">
        <v>71</v>
      </c>
      <c r="C46" s="23"/>
      <c r="D46" s="23"/>
      <c r="E46" s="23"/>
      <c r="F46" s="23"/>
    </row>
  </sheetData>
  <mergeCells count="6">
    <mergeCell ref="B41:F41"/>
    <mergeCell ref="B44:F44"/>
    <mergeCell ref="B43:F43"/>
    <mergeCell ref="B42:F42"/>
    <mergeCell ref="B45:F45"/>
    <mergeCell ref="B46:F4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98"/>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72</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78" customHeight="1" x14ac:dyDescent="0.25">
      <c r="A5" s="20">
        <v>1</v>
      </c>
      <c r="B5" s="14" t="s">
        <v>24</v>
      </c>
      <c r="C5" s="14" t="s">
        <v>84</v>
      </c>
      <c r="D5" s="20" t="s">
        <v>85</v>
      </c>
      <c r="E5" s="14" t="s">
        <v>15</v>
      </c>
      <c r="F5" s="14" t="s">
        <v>86</v>
      </c>
      <c r="G5" s="16" t="s">
        <v>6</v>
      </c>
      <c r="H5" s="15">
        <v>0.95</v>
      </c>
      <c r="I5" s="14" t="s">
        <v>87</v>
      </c>
      <c r="J5" s="14" t="s">
        <v>88</v>
      </c>
      <c r="K5" s="14" t="s">
        <v>89</v>
      </c>
      <c r="L5" s="14" t="s">
        <v>90</v>
      </c>
      <c r="M5" s="14" t="s">
        <v>91</v>
      </c>
      <c r="N5" s="14" t="s">
        <v>25</v>
      </c>
      <c r="O5" s="14" t="s">
        <v>92</v>
      </c>
    </row>
    <row r="6" spans="1:15" ht="90" customHeight="1" x14ac:dyDescent="0.25">
      <c r="A6" s="20">
        <v>2</v>
      </c>
      <c r="B6" s="14" t="s">
        <v>26</v>
      </c>
      <c r="C6" s="14" t="s">
        <v>84</v>
      </c>
      <c r="D6" s="20" t="s">
        <v>85</v>
      </c>
      <c r="E6" s="14" t="s">
        <v>27</v>
      </c>
      <c r="F6" s="14" t="s">
        <v>93</v>
      </c>
      <c r="G6" s="16" t="s">
        <v>6</v>
      </c>
      <c r="H6" s="15">
        <v>0.9</v>
      </c>
      <c r="I6" s="14" t="s">
        <v>87</v>
      </c>
      <c r="J6" s="14" t="s">
        <v>94</v>
      </c>
      <c r="K6" s="14" t="s">
        <v>95</v>
      </c>
      <c r="L6" s="14" t="s">
        <v>96</v>
      </c>
      <c r="M6" s="14" t="s">
        <v>91</v>
      </c>
      <c r="N6" s="14" t="s">
        <v>28</v>
      </c>
      <c r="O6" s="14" t="s">
        <v>97</v>
      </c>
    </row>
    <row r="7" spans="1:15" ht="102" customHeight="1" x14ac:dyDescent="0.25">
      <c r="A7" s="20">
        <v>3</v>
      </c>
      <c r="B7" s="14" t="s">
        <v>29</v>
      </c>
      <c r="C7" s="14" t="s">
        <v>84</v>
      </c>
      <c r="D7" s="20" t="s">
        <v>98</v>
      </c>
      <c r="E7" s="14" t="s">
        <v>16</v>
      </c>
      <c r="F7" s="14" t="s">
        <v>99</v>
      </c>
      <c r="G7" s="16" t="s">
        <v>6</v>
      </c>
      <c r="H7" s="15">
        <v>0.8</v>
      </c>
      <c r="I7" s="14" t="s">
        <v>87</v>
      </c>
      <c r="J7" s="14" t="s">
        <v>100</v>
      </c>
      <c r="K7" s="14" t="s">
        <v>101</v>
      </c>
      <c r="L7" s="14" t="s">
        <v>102</v>
      </c>
      <c r="M7" s="14" t="s">
        <v>91</v>
      </c>
      <c r="N7" s="14" t="s">
        <v>30</v>
      </c>
      <c r="O7" s="14" t="s">
        <v>103</v>
      </c>
    </row>
    <row r="8" spans="1:15" ht="114" customHeight="1" x14ac:dyDescent="0.25">
      <c r="A8" s="20">
        <v>4</v>
      </c>
      <c r="B8" s="14" t="s">
        <v>31</v>
      </c>
      <c r="C8" s="14" t="s">
        <v>84</v>
      </c>
      <c r="D8" s="20" t="s">
        <v>104</v>
      </c>
      <c r="E8" s="14" t="s">
        <v>32</v>
      </c>
      <c r="F8" s="14" t="s">
        <v>105</v>
      </c>
      <c r="G8" s="16" t="s">
        <v>6</v>
      </c>
      <c r="H8" s="15">
        <v>0.8</v>
      </c>
      <c r="I8" s="14" t="s">
        <v>87</v>
      </c>
      <c r="J8" s="14" t="s">
        <v>106</v>
      </c>
      <c r="K8" s="14" t="s">
        <v>107</v>
      </c>
      <c r="L8" s="14" t="s">
        <v>108</v>
      </c>
      <c r="M8" s="14" t="s">
        <v>91</v>
      </c>
      <c r="N8" s="14" t="s">
        <v>33</v>
      </c>
      <c r="O8" s="14" t="s">
        <v>109</v>
      </c>
    </row>
    <row r="9" spans="1:15" ht="90" customHeight="1" x14ac:dyDescent="0.25">
      <c r="A9" s="20">
        <v>5</v>
      </c>
      <c r="B9" s="14" t="s">
        <v>34</v>
      </c>
      <c r="C9" s="14" t="s">
        <v>110</v>
      </c>
      <c r="D9" s="20" t="s">
        <v>104</v>
      </c>
      <c r="E9" s="14" t="s">
        <v>32</v>
      </c>
      <c r="F9" s="14" t="s">
        <v>111</v>
      </c>
      <c r="G9" s="17" t="s">
        <v>8</v>
      </c>
      <c r="H9" s="15">
        <v>0.7</v>
      </c>
      <c r="I9" s="14" t="s">
        <v>87</v>
      </c>
      <c r="J9" s="14" t="s">
        <v>112</v>
      </c>
      <c r="K9" s="14" t="s">
        <v>113</v>
      </c>
      <c r="L9" s="14" t="s">
        <v>114</v>
      </c>
      <c r="M9" s="14" t="s">
        <v>91</v>
      </c>
      <c r="N9" s="14" t="s">
        <v>35</v>
      </c>
      <c r="O9" s="14" t="s">
        <v>115</v>
      </c>
    </row>
    <row r="10" spans="1:15" ht="78" customHeight="1" x14ac:dyDescent="0.25">
      <c r="A10" s="20">
        <v>6</v>
      </c>
      <c r="B10" s="14" t="s">
        <v>36</v>
      </c>
      <c r="C10" s="14" t="s">
        <v>116</v>
      </c>
      <c r="D10" s="20" t="s">
        <v>85</v>
      </c>
      <c r="E10" s="14" t="s">
        <v>15</v>
      </c>
      <c r="F10" s="14" t="s">
        <v>117</v>
      </c>
      <c r="G10" s="17" t="s">
        <v>8</v>
      </c>
      <c r="H10" s="15">
        <v>0.7</v>
      </c>
      <c r="I10" s="14" t="s">
        <v>87</v>
      </c>
      <c r="J10" s="14" t="s">
        <v>118</v>
      </c>
      <c r="K10" s="14" t="s">
        <v>119</v>
      </c>
      <c r="L10" s="14" t="s">
        <v>120</v>
      </c>
      <c r="M10" s="14" t="s">
        <v>91</v>
      </c>
      <c r="N10" s="14" t="s">
        <v>37</v>
      </c>
      <c r="O10" s="14" t="s">
        <v>121</v>
      </c>
    </row>
    <row r="11" spans="1:15" ht="66" customHeight="1" x14ac:dyDescent="0.25">
      <c r="A11" s="20">
        <v>7</v>
      </c>
      <c r="B11" s="14" t="s">
        <v>38</v>
      </c>
      <c r="C11" s="14" t="s">
        <v>84</v>
      </c>
      <c r="D11" s="20" t="s">
        <v>85</v>
      </c>
      <c r="E11" s="14" t="s">
        <v>39</v>
      </c>
      <c r="F11" s="14" t="s">
        <v>122</v>
      </c>
      <c r="G11" s="17" t="s">
        <v>8</v>
      </c>
      <c r="H11" s="15">
        <v>0.65</v>
      </c>
      <c r="I11" s="14" t="s">
        <v>87</v>
      </c>
      <c r="J11" s="14" t="s">
        <v>123</v>
      </c>
      <c r="K11" s="14" t="s">
        <v>124</v>
      </c>
      <c r="L11" s="14" t="s">
        <v>125</v>
      </c>
      <c r="M11" s="14" t="s">
        <v>91</v>
      </c>
      <c r="N11" s="14" t="s">
        <v>40</v>
      </c>
      <c r="O11" s="14" t="s">
        <v>126</v>
      </c>
    </row>
    <row r="12" spans="1:15" ht="66" customHeight="1" x14ac:dyDescent="0.25">
      <c r="A12" s="20">
        <v>8</v>
      </c>
      <c r="B12" s="14" t="s">
        <v>41</v>
      </c>
      <c r="C12" s="14" t="s">
        <v>127</v>
      </c>
      <c r="D12" s="20" t="s">
        <v>85</v>
      </c>
      <c r="E12" s="14" t="s">
        <v>27</v>
      </c>
      <c r="F12" s="14" t="s">
        <v>128</v>
      </c>
      <c r="G12" s="17" t="s">
        <v>8</v>
      </c>
      <c r="H12" s="15">
        <v>0.65</v>
      </c>
      <c r="I12" s="14" t="s">
        <v>87</v>
      </c>
      <c r="J12" s="14" t="s">
        <v>129</v>
      </c>
      <c r="K12" s="14" t="s">
        <v>130</v>
      </c>
      <c r="L12" s="14" t="s">
        <v>131</v>
      </c>
      <c r="M12" s="14" t="s">
        <v>91</v>
      </c>
      <c r="N12" s="14" t="s">
        <v>42</v>
      </c>
      <c r="O12" s="14" t="s">
        <v>132</v>
      </c>
    </row>
    <row r="13" spans="1:15" ht="114" customHeight="1" x14ac:dyDescent="0.25">
      <c r="A13" s="20">
        <v>9</v>
      </c>
      <c r="B13" s="14" t="s">
        <v>43</v>
      </c>
      <c r="C13" s="14" t="s">
        <v>116</v>
      </c>
      <c r="D13" s="20" t="s">
        <v>85</v>
      </c>
      <c r="E13" s="14" t="s">
        <v>15</v>
      </c>
      <c r="F13" s="14" t="s">
        <v>133</v>
      </c>
      <c r="G13" s="17" t="s">
        <v>8</v>
      </c>
      <c r="H13" s="15">
        <v>0.65</v>
      </c>
      <c r="I13" s="14" t="s">
        <v>87</v>
      </c>
      <c r="J13" s="14" t="s">
        <v>134</v>
      </c>
      <c r="K13" s="14" t="s">
        <v>135</v>
      </c>
      <c r="L13" s="14" t="s">
        <v>136</v>
      </c>
      <c r="M13" s="14" t="s">
        <v>91</v>
      </c>
      <c r="N13" s="14" t="s">
        <v>44</v>
      </c>
      <c r="O13" s="14" t="s">
        <v>137</v>
      </c>
    </row>
    <row r="14" spans="1:15" ht="66" customHeight="1" x14ac:dyDescent="0.25">
      <c r="A14" s="20">
        <v>10</v>
      </c>
      <c r="B14" s="14" t="s">
        <v>45</v>
      </c>
      <c r="C14" s="14" t="s">
        <v>116</v>
      </c>
      <c r="D14" s="20" t="s">
        <v>85</v>
      </c>
      <c r="E14" s="14" t="s">
        <v>27</v>
      </c>
      <c r="F14" s="14" t="s">
        <v>138</v>
      </c>
      <c r="G14" s="17" t="s">
        <v>8</v>
      </c>
      <c r="H14" s="15">
        <v>0.6</v>
      </c>
      <c r="I14" s="14" t="s">
        <v>87</v>
      </c>
      <c r="J14" s="14" t="s">
        <v>139</v>
      </c>
      <c r="K14" s="14" t="s">
        <v>140</v>
      </c>
      <c r="L14" s="14" t="s">
        <v>141</v>
      </c>
      <c r="M14" s="14" t="s">
        <v>91</v>
      </c>
      <c r="N14" s="14" t="s">
        <v>46</v>
      </c>
      <c r="O14" s="14" t="s">
        <v>142</v>
      </c>
    </row>
    <row r="15" spans="1:15" ht="90" customHeight="1" x14ac:dyDescent="0.25">
      <c r="A15" s="20">
        <v>11</v>
      </c>
      <c r="B15" s="14" t="s">
        <v>47</v>
      </c>
      <c r="C15" s="14" t="s">
        <v>116</v>
      </c>
      <c r="D15" s="20" t="s">
        <v>85</v>
      </c>
      <c r="E15" s="14" t="s">
        <v>27</v>
      </c>
      <c r="F15" s="14" t="s">
        <v>143</v>
      </c>
      <c r="G15" s="17" t="s">
        <v>8</v>
      </c>
      <c r="H15" s="15">
        <v>0.6</v>
      </c>
      <c r="I15" s="14" t="s">
        <v>87</v>
      </c>
      <c r="J15" s="14" t="s">
        <v>144</v>
      </c>
      <c r="K15" s="14" t="s">
        <v>145</v>
      </c>
      <c r="L15" s="14" t="s">
        <v>146</v>
      </c>
      <c r="M15" s="14" t="s">
        <v>91</v>
      </c>
      <c r="N15" s="14" t="s">
        <v>48</v>
      </c>
      <c r="O15" s="14" t="s">
        <v>147</v>
      </c>
    </row>
    <row r="16" spans="1:15" ht="66" customHeight="1" x14ac:dyDescent="0.25">
      <c r="A16" s="20">
        <v>12</v>
      </c>
      <c r="B16" s="14" t="s">
        <v>49</v>
      </c>
      <c r="C16" s="14" t="s">
        <v>116</v>
      </c>
      <c r="D16" s="20" t="s">
        <v>85</v>
      </c>
      <c r="E16" s="14" t="s">
        <v>15</v>
      </c>
      <c r="F16" s="14" t="s">
        <v>148</v>
      </c>
      <c r="G16" s="17" t="s">
        <v>8</v>
      </c>
      <c r="H16" s="15">
        <v>0.6</v>
      </c>
      <c r="I16" s="14" t="s">
        <v>87</v>
      </c>
      <c r="J16" s="14" t="s">
        <v>149</v>
      </c>
      <c r="K16" s="14" t="s">
        <v>150</v>
      </c>
      <c r="L16" s="14" t="s">
        <v>151</v>
      </c>
      <c r="M16" s="14" t="s">
        <v>91</v>
      </c>
      <c r="N16" s="14" t="s">
        <v>50</v>
      </c>
      <c r="O16" s="14" t="s">
        <v>152</v>
      </c>
    </row>
    <row r="17" spans="1:15" ht="78" customHeight="1" x14ac:dyDescent="0.25">
      <c r="A17" s="20">
        <v>13</v>
      </c>
      <c r="B17" s="14" t="s">
        <v>51</v>
      </c>
      <c r="C17" s="14" t="s">
        <v>116</v>
      </c>
      <c r="D17" s="20" t="s">
        <v>104</v>
      </c>
      <c r="E17" s="14" t="s">
        <v>32</v>
      </c>
      <c r="F17" s="14" t="s">
        <v>153</v>
      </c>
      <c r="G17" s="17" t="s">
        <v>8</v>
      </c>
      <c r="H17" s="15">
        <v>0.6</v>
      </c>
      <c r="I17" s="14" t="s">
        <v>87</v>
      </c>
      <c r="J17" s="14" t="s">
        <v>154</v>
      </c>
      <c r="K17" s="14" t="s">
        <v>155</v>
      </c>
      <c r="L17" s="14" t="s">
        <v>156</v>
      </c>
      <c r="M17" s="14" t="s">
        <v>91</v>
      </c>
      <c r="N17" s="14" t="s">
        <v>52</v>
      </c>
      <c r="O17" s="14" t="s">
        <v>157</v>
      </c>
    </row>
    <row r="18" spans="1:15" ht="78" customHeight="1" x14ac:dyDescent="0.25">
      <c r="A18" s="20">
        <v>14</v>
      </c>
      <c r="B18" s="14" t="s">
        <v>53</v>
      </c>
      <c r="C18" s="14" t="s">
        <v>116</v>
      </c>
      <c r="D18" s="20" t="s">
        <v>85</v>
      </c>
      <c r="E18" s="14" t="s">
        <v>15</v>
      </c>
      <c r="F18" s="14" t="s">
        <v>158</v>
      </c>
      <c r="G18" s="17" t="s">
        <v>8</v>
      </c>
      <c r="H18" s="15">
        <v>0.55000000000000004</v>
      </c>
      <c r="I18" s="14" t="s">
        <v>87</v>
      </c>
      <c r="J18" s="14" t="s">
        <v>159</v>
      </c>
      <c r="K18" s="14" t="s">
        <v>160</v>
      </c>
      <c r="L18" s="14" t="s">
        <v>161</v>
      </c>
      <c r="M18" s="14" t="s">
        <v>91</v>
      </c>
      <c r="N18" s="14" t="s">
        <v>54</v>
      </c>
      <c r="O18" s="14" t="s">
        <v>162</v>
      </c>
    </row>
    <row r="19" spans="1:15" ht="66" customHeight="1" x14ac:dyDescent="0.25">
      <c r="A19" s="20">
        <v>15</v>
      </c>
      <c r="B19" s="14" t="s">
        <v>55</v>
      </c>
      <c r="C19" s="14" t="s">
        <v>116</v>
      </c>
      <c r="D19" s="20" t="s">
        <v>104</v>
      </c>
      <c r="E19" s="14" t="s">
        <v>32</v>
      </c>
      <c r="F19" s="14" t="s">
        <v>163</v>
      </c>
      <c r="G19" s="17" t="s">
        <v>8</v>
      </c>
      <c r="H19" s="15">
        <v>0.55000000000000004</v>
      </c>
      <c r="I19" s="14" t="s">
        <v>87</v>
      </c>
      <c r="J19" s="14" t="s">
        <v>164</v>
      </c>
      <c r="K19" s="14" t="s">
        <v>165</v>
      </c>
      <c r="L19" s="14" t="s">
        <v>166</v>
      </c>
      <c r="M19" s="14" t="s">
        <v>91</v>
      </c>
      <c r="N19" s="14" t="s">
        <v>56</v>
      </c>
      <c r="O19" s="14" t="s">
        <v>167</v>
      </c>
    </row>
    <row r="20" spans="1:15" ht="78" customHeight="1" x14ac:dyDescent="0.25">
      <c r="A20" s="20">
        <v>16</v>
      </c>
      <c r="B20" s="14" t="s">
        <v>57</v>
      </c>
      <c r="C20" s="14" t="s">
        <v>127</v>
      </c>
      <c r="D20" s="20" t="s">
        <v>85</v>
      </c>
      <c r="E20" s="14" t="s">
        <v>15</v>
      </c>
      <c r="F20" s="14" t="s">
        <v>168</v>
      </c>
      <c r="G20" s="17" t="s">
        <v>8</v>
      </c>
      <c r="H20" s="15">
        <v>0.55000000000000004</v>
      </c>
      <c r="I20" s="14" t="s">
        <v>87</v>
      </c>
      <c r="J20" s="14" t="s">
        <v>169</v>
      </c>
      <c r="K20" s="14" t="s">
        <v>170</v>
      </c>
      <c r="L20" s="14" t="s">
        <v>171</v>
      </c>
      <c r="M20" s="14" t="s">
        <v>91</v>
      </c>
      <c r="N20" s="14" t="s">
        <v>58</v>
      </c>
      <c r="O20" s="14" t="s">
        <v>172</v>
      </c>
    </row>
    <row r="21" spans="1:15" ht="90" customHeight="1" x14ac:dyDescent="0.25">
      <c r="A21" s="20">
        <v>17</v>
      </c>
      <c r="B21" s="14" t="s">
        <v>59</v>
      </c>
      <c r="C21" s="14" t="s">
        <v>110</v>
      </c>
      <c r="D21" s="20" t="s">
        <v>85</v>
      </c>
      <c r="E21" s="14" t="s">
        <v>14</v>
      </c>
      <c r="F21" s="14" t="s">
        <v>173</v>
      </c>
      <c r="G21" s="17" t="s">
        <v>8</v>
      </c>
      <c r="H21" s="15">
        <v>0.5</v>
      </c>
      <c r="I21" s="14" t="s">
        <v>87</v>
      </c>
      <c r="J21" s="14" t="s">
        <v>174</v>
      </c>
      <c r="K21" s="14" t="s">
        <v>175</v>
      </c>
      <c r="L21" s="14" t="s">
        <v>176</v>
      </c>
      <c r="M21" s="14" t="s">
        <v>91</v>
      </c>
      <c r="N21" s="14" t="s">
        <v>60</v>
      </c>
      <c r="O21" s="14" t="s">
        <v>177</v>
      </c>
    </row>
    <row r="22" spans="1:15" ht="102" customHeight="1" x14ac:dyDescent="0.25">
      <c r="A22" s="20">
        <v>18</v>
      </c>
      <c r="B22" s="14" t="s">
        <v>61</v>
      </c>
      <c r="C22" s="14" t="s">
        <v>110</v>
      </c>
      <c r="D22" s="20" t="s">
        <v>85</v>
      </c>
      <c r="E22" s="14" t="s">
        <v>15</v>
      </c>
      <c r="F22" s="14" t="s">
        <v>178</v>
      </c>
      <c r="G22" s="17" t="s">
        <v>8</v>
      </c>
      <c r="H22" s="15">
        <v>0.5</v>
      </c>
      <c r="I22" s="14" t="s">
        <v>87</v>
      </c>
      <c r="J22" s="14" t="s">
        <v>179</v>
      </c>
      <c r="K22" s="14" t="s">
        <v>180</v>
      </c>
      <c r="L22" s="14" t="s">
        <v>181</v>
      </c>
      <c r="M22" s="14" t="s">
        <v>91</v>
      </c>
      <c r="N22" s="14" t="s">
        <v>62</v>
      </c>
      <c r="O22" s="14" t="s">
        <v>182</v>
      </c>
    </row>
    <row r="23" spans="1:15" ht="78" customHeight="1" x14ac:dyDescent="0.25">
      <c r="A23" s="20">
        <v>19</v>
      </c>
      <c r="B23" s="14" t="s">
        <v>63</v>
      </c>
      <c r="C23" s="14" t="s">
        <v>116</v>
      </c>
      <c r="D23" s="20" t="s">
        <v>85</v>
      </c>
      <c r="E23" s="14" t="s">
        <v>15</v>
      </c>
      <c r="F23" s="14" t="s">
        <v>183</v>
      </c>
      <c r="G23" s="17" t="s">
        <v>8</v>
      </c>
      <c r="H23" s="15">
        <v>0.5</v>
      </c>
      <c r="I23" s="14" t="s">
        <v>87</v>
      </c>
      <c r="J23" s="14" t="s">
        <v>184</v>
      </c>
      <c r="K23" s="14" t="s">
        <v>185</v>
      </c>
      <c r="L23" s="14" t="s">
        <v>186</v>
      </c>
      <c r="M23" s="14" t="s">
        <v>91</v>
      </c>
      <c r="N23" s="14" t="s">
        <v>64</v>
      </c>
      <c r="O23" s="14" t="s">
        <v>187</v>
      </c>
    </row>
    <row r="24" spans="1:15" ht="66" customHeight="1" x14ac:dyDescent="0.25">
      <c r="A24" s="20">
        <v>20</v>
      </c>
      <c r="B24" s="14" t="s">
        <v>188</v>
      </c>
      <c r="C24" s="14" t="s">
        <v>127</v>
      </c>
      <c r="D24" s="20" t="s">
        <v>85</v>
      </c>
      <c r="E24" s="14" t="s">
        <v>15</v>
      </c>
      <c r="F24" s="14" t="s">
        <v>189</v>
      </c>
      <c r="G24" s="17" t="s">
        <v>8</v>
      </c>
      <c r="H24" s="15">
        <v>0.5</v>
      </c>
      <c r="I24" s="14" t="s">
        <v>87</v>
      </c>
      <c r="J24" s="14" t="s">
        <v>190</v>
      </c>
      <c r="K24" s="14" t="s">
        <v>191</v>
      </c>
      <c r="L24" s="14" t="s">
        <v>192</v>
      </c>
      <c r="M24" s="14" t="s">
        <v>91</v>
      </c>
      <c r="N24" s="14" t="s">
        <v>193</v>
      </c>
      <c r="O24" s="14" t="s">
        <v>194</v>
      </c>
    </row>
    <row r="25" spans="1:15" ht="90" customHeight="1" x14ac:dyDescent="0.25">
      <c r="A25" s="20">
        <v>21</v>
      </c>
      <c r="B25" s="14" t="s">
        <v>195</v>
      </c>
      <c r="C25" s="14" t="s">
        <v>127</v>
      </c>
      <c r="D25" s="20" t="s">
        <v>85</v>
      </c>
      <c r="E25" s="14" t="s">
        <v>14</v>
      </c>
      <c r="F25" s="14" t="s">
        <v>196</v>
      </c>
      <c r="G25" s="17" t="s">
        <v>8</v>
      </c>
      <c r="H25" s="15">
        <v>0.5</v>
      </c>
      <c r="I25" s="14" t="s">
        <v>87</v>
      </c>
      <c r="J25" s="14" t="s">
        <v>197</v>
      </c>
      <c r="K25" s="14" t="s">
        <v>198</v>
      </c>
      <c r="L25" s="14" t="s">
        <v>199</v>
      </c>
      <c r="M25" s="14" t="s">
        <v>91</v>
      </c>
      <c r="N25" s="14" t="s">
        <v>200</v>
      </c>
      <c r="O25" s="14" t="s">
        <v>201</v>
      </c>
    </row>
    <row r="26" spans="1:15" ht="66" customHeight="1" x14ac:dyDescent="0.25">
      <c r="A26" s="20">
        <v>22</v>
      </c>
      <c r="B26" s="14" t="s">
        <v>202</v>
      </c>
      <c r="C26" s="14" t="s">
        <v>116</v>
      </c>
      <c r="D26" s="20" t="s">
        <v>85</v>
      </c>
      <c r="E26" s="14" t="s">
        <v>27</v>
      </c>
      <c r="F26" s="14" t="s">
        <v>203</v>
      </c>
      <c r="G26" s="17" t="s">
        <v>8</v>
      </c>
      <c r="H26" s="15">
        <v>0.5</v>
      </c>
      <c r="I26" s="14" t="s">
        <v>87</v>
      </c>
      <c r="J26" s="14" t="s">
        <v>204</v>
      </c>
      <c r="K26" s="14" t="s">
        <v>205</v>
      </c>
      <c r="L26" s="14" t="s">
        <v>206</v>
      </c>
      <c r="M26" s="14" t="s">
        <v>91</v>
      </c>
      <c r="N26" s="14" t="s">
        <v>207</v>
      </c>
      <c r="O26" s="14" t="s">
        <v>208</v>
      </c>
    </row>
    <row r="27" spans="1:15" ht="102" customHeight="1" x14ac:dyDescent="0.25">
      <c r="A27" s="20">
        <v>23</v>
      </c>
      <c r="B27" s="14" t="s">
        <v>209</v>
      </c>
      <c r="C27" s="14" t="s">
        <v>116</v>
      </c>
      <c r="D27" s="20" t="s">
        <v>85</v>
      </c>
      <c r="E27" s="14" t="s">
        <v>15</v>
      </c>
      <c r="F27" s="14" t="s">
        <v>210</v>
      </c>
      <c r="G27" s="17" t="s">
        <v>8</v>
      </c>
      <c r="H27" s="15">
        <v>0.5</v>
      </c>
      <c r="I27" s="14" t="s">
        <v>87</v>
      </c>
      <c r="J27" s="14" t="s">
        <v>211</v>
      </c>
      <c r="K27" s="14" t="s">
        <v>212</v>
      </c>
      <c r="L27" s="14" t="s">
        <v>213</v>
      </c>
      <c r="M27" s="14" t="s">
        <v>91</v>
      </c>
      <c r="N27" s="14" t="s">
        <v>214</v>
      </c>
      <c r="O27" s="14" t="s">
        <v>215</v>
      </c>
    </row>
    <row r="28" spans="1:15" ht="90" customHeight="1" x14ac:dyDescent="0.25">
      <c r="A28" s="20">
        <v>24</v>
      </c>
      <c r="B28" s="14" t="s">
        <v>216</v>
      </c>
      <c r="C28" s="14" t="s">
        <v>110</v>
      </c>
      <c r="D28" s="20" t="s">
        <v>98</v>
      </c>
      <c r="E28" s="14" t="s">
        <v>16</v>
      </c>
      <c r="F28" s="14" t="s">
        <v>217</v>
      </c>
      <c r="G28" s="17" t="s">
        <v>8</v>
      </c>
      <c r="H28" s="15">
        <v>0.5</v>
      </c>
      <c r="I28" s="14" t="s">
        <v>87</v>
      </c>
      <c r="J28" s="14" t="s">
        <v>218</v>
      </c>
      <c r="K28" s="14" t="s">
        <v>219</v>
      </c>
      <c r="L28" s="14" t="s">
        <v>220</v>
      </c>
      <c r="M28" s="14" t="s">
        <v>91</v>
      </c>
      <c r="N28" s="14" t="s">
        <v>221</v>
      </c>
      <c r="O28" s="14" t="s">
        <v>222</v>
      </c>
    </row>
    <row r="29" spans="1:15" ht="102" customHeight="1" x14ac:dyDescent="0.25">
      <c r="A29" s="20">
        <v>25</v>
      </c>
      <c r="B29" s="14" t="s">
        <v>223</v>
      </c>
      <c r="C29" s="14" t="s">
        <v>116</v>
      </c>
      <c r="D29" s="20" t="s">
        <v>98</v>
      </c>
      <c r="E29" s="14" t="s">
        <v>16</v>
      </c>
      <c r="F29" s="14" t="s">
        <v>224</v>
      </c>
      <c r="G29" s="17" t="s">
        <v>8</v>
      </c>
      <c r="H29" s="15">
        <v>0.5</v>
      </c>
      <c r="I29" s="14" t="s">
        <v>87</v>
      </c>
      <c r="J29" s="14" t="s">
        <v>225</v>
      </c>
      <c r="K29" s="14" t="s">
        <v>226</v>
      </c>
      <c r="L29" s="14" t="s">
        <v>227</v>
      </c>
      <c r="M29" s="14" t="s">
        <v>91</v>
      </c>
      <c r="N29" s="14" t="s">
        <v>228</v>
      </c>
      <c r="O29" s="14" t="s">
        <v>229</v>
      </c>
    </row>
    <row r="30" spans="1:15" ht="90" customHeight="1" x14ac:dyDescent="0.25">
      <c r="A30" s="20">
        <v>26</v>
      </c>
      <c r="B30" s="14" t="s">
        <v>230</v>
      </c>
      <c r="C30" s="14" t="s">
        <v>116</v>
      </c>
      <c r="D30" s="20" t="s">
        <v>85</v>
      </c>
      <c r="E30" s="14" t="s">
        <v>27</v>
      </c>
      <c r="F30" s="14" t="s">
        <v>231</v>
      </c>
      <c r="G30" s="17" t="s">
        <v>8</v>
      </c>
      <c r="H30" s="15">
        <v>0.5</v>
      </c>
      <c r="I30" s="14" t="s">
        <v>87</v>
      </c>
      <c r="J30" s="14" t="s">
        <v>232</v>
      </c>
      <c r="K30" s="14" t="s">
        <v>233</v>
      </c>
      <c r="L30" s="14" t="s">
        <v>234</v>
      </c>
      <c r="M30" s="14" t="s">
        <v>91</v>
      </c>
      <c r="N30" s="14" t="s">
        <v>235</v>
      </c>
      <c r="O30" s="14" t="s">
        <v>236</v>
      </c>
    </row>
    <row r="31" spans="1:15" ht="66" customHeight="1" x14ac:dyDescent="0.25">
      <c r="A31" s="20">
        <v>27</v>
      </c>
      <c r="B31" s="14" t="s">
        <v>237</v>
      </c>
      <c r="C31" s="14" t="s">
        <v>127</v>
      </c>
      <c r="D31" s="20" t="s">
        <v>85</v>
      </c>
      <c r="E31" s="14" t="s">
        <v>14</v>
      </c>
      <c r="F31" s="14" t="s">
        <v>238</v>
      </c>
      <c r="G31" s="17" t="s">
        <v>8</v>
      </c>
      <c r="H31" s="15">
        <v>0.5</v>
      </c>
      <c r="I31" s="14" t="s">
        <v>87</v>
      </c>
      <c r="J31" s="14" t="s">
        <v>239</v>
      </c>
      <c r="K31" s="14" t="s">
        <v>240</v>
      </c>
      <c r="L31" s="14" t="s">
        <v>241</v>
      </c>
      <c r="M31" s="14" t="s">
        <v>91</v>
      </c>
      <c r="N31" s="14" t="s">
        <v>242</v>
      </c>
      <c r="O31" s="14" t="s">
        <v>243</v>
      </c>
    </row>
    <row r="32" spans="1:15" ht="90" customHeight="1" x14ac:dyDescent="0.25">
      <c r="A32" s="20">
        <v>28</v>
      </c>
      <c r="B32" s="14" t="s">
        <v>244</v>
      </c>
      <c r="C32" s="14" t="s">
        <v>110</v>
      </c>
      <c r="D32" s="20" t="s">
        <v>104</v>
      </c>
      <c r="E32" s="14" t="s">
        <v>32</v>
      </c>
      <c r="F32" s="14" t="s">
        <v>245</v>
      </c>
      <c r="G32" s="17" t="s">
        <v>8</v>
      </c>
      <c r="H32" s="15">
        <v>0.5</v>
      </c>
      <c r="I32" s="14" t="s">
        <v>87</v>
      </c>
      <c r="J32" s="14" t="s">
        <v>246</v>
      </c>
      <c r="K32" s="14" t="s">
        <v>247</v>
      </c>
      <c r="L32" s="14" t="s">
        <v>248</v>
      </c>
      <c r="M32" s="14" t="s">
        <v>91</v>
      </c>
      <c r="N32" s="14" t="s">
        <v>249</v>
      </c>
      <c r="O32" s="14" t="s">
        <v>250</v>
      </c>
    </row>
    <row r="33" spans="1:15" ht="90" customHeight="1" x14ac:dyDescent="0.25">
      <c r="A33" s="20">
        <v>29</v>
      </c>
      <c r="B33" s="14" t="s">
        <v>251</v>
      </c>
      <c r="C33" s="14" t="s">
        <v>116</v>
      </c>
      <c r="D33" s="20" t="s">
        <v>85</v>
      </c>
      <c r="E33" s="14" t="s">
        <v>27</v>
      </c>
      <c r="F33" s="14" t="s">
        <v>252</v>
      </c>
      <c r="G33" s="17" t="s">
        <v>8</v>
      </c>
      <c r="H33" s="15">
        <v>0.5</v>
      </c>
      <c r="I33" s="14" t="s">
        <v>87</v>
      </c>
      <c r="J33" s="14" t="s">
        <v>253</v>
      </c>
      <c r="K33" s="14" t="s">
        <v>254</v>
      </c>
      <c r="L33" s="14" t="s">
        <v>255</v>
      </c>
      <c r="M33" s="14" t="s">
        <v>91</v>
      </c>
      <c r="N33" s="14" t="s">
        <v>256</v>
      </c>
      <c r="O33" s="14" t="s">
        <v>257</v>
      </c>
    </row>
    <row r="34" spans="1:15" ht="90" customHeight="1" x14ac:dyDescent="0.25">
      <c r="A34" s="20">
        <v>30</v>
      </c>
      <c r="B34" s="14" t="s">
        <v>258</v>
      </c>
      <c r="C34" s="14" t="s">
        <v>116</v>
      </c>
      <c r="D34" s="20" t="s">
        <v>85</v>
      </c>
      <c r="E34" s="14" t="s">
        <v>15</v>
      </c>
      <c r="F34" s="14" t="s">
        <v>259</v>
      </c>
      <c r="G34" s="17" t="s">
        <v>8</v>
      </c>
      <c r="H34" s="15">
        <v>0.45</v>
      </c>
      <c r="I34" s="14" t="s">
        <v>87</v>
      </c>
      <c r="J34" s="14" t="s">
        <v>260</v>
      </c>
      <c r="K34" s="14" t="s">
        <v>261</v>
      </c>
      <c r="L34" s="14" t="s">
        <v>262</v>
      </c>
      <c r="M34" s="14" t="s">
        <v>91</v>
      </c>
      <c r="N34" s="14" t="s">
        <v>263</v>
      </c>
      <c r="O34" s="14" t="s">
        <v>264</v>
      </c>
    </row>
    <row r="35" spans="1:15" ht="66" customHeight="1" x14ac:dyDescent="0.25">
      <c r="A35" s="20">
        <v>31</v>
      </c>
      <c r="B35" s="14" t="s">
        <v>265</v>
      </c>
      <c r="C35" s="14" t="s">
        <v>116</v>
      </c>
      <c r="D35" s="20" t="s">
        <v>85</v>
      </c>
      <c r="E35" s="14" t="s">
        <v>15</v>
      </c>
      <c r="F35" s="14" t="s">
        <v>266</v>
      </c>
      <c r="G35" s="17" t="s">
        <v>8</v>
      </c>
      <c r="H35" s="15">
        <v>0.45</v>
      </c>
      <c r="I35" s="14" t="s">
        <v>87</v>
      </c>
      <c r="J35" s="14" t="s">
        <v>267</v>
      </c>
      <c r="K35" s="14" t="s">
        <v>268</v>
      </c>
      <c r="L35" s="14" t="s">
        <v>269</v>
      </c>
      <c r="M35" s="14" t="s">
        <v>91</v>
      </c>
      <c r="N35" s="14" t="s">
        <v>270</v>
      </c>
      <c r="O35" s="14" t="s">
        <v>271</v>
      </c>
    </row>
    <row r="36" spans="1:15" ht="66" customHeight="1" x14ac:dyDescent="0.25">
      <c r="A36" s="20">
        <v>32</v>
      </c>
      <c r="B36" s="14" t="s">
        <v>272</v>
      </c>
      <c r="C36" s="14" t="s">
        <v>116</v>
      </c>
      <c r="D36" s="20" t="s">
        <v>104</v>
      </c>
      <c r="E36" s="14" t="s">
        <v>32</v>
      </c>
      <c r="F36" s="14" t="s">
        <v>273</v>
      </c>
      <c r="G36" s="17" t="s">
        <v>8</v>
      </c>
      <c r="H36" s="15">
        <v>0.45</v>
      </c>
      <c r="I36" s="14" t="s">
        <v>87</v>
      </c>
      <c r="J36" s="14" t="s">
        <v>274</v>
      </c>
      <c r="K36" s="14" t="s">
        <v>275</v>
      </c>
      <c r="L36" s="14" t="s">
        <v>276</v>
      </c>
      <c r="M36" s="14" t="s">
        <v>91</v>
      </c>
      <c r="N36" s="14" t="s">
        <v>277</v>
      </c>
      <c r="O36" s="14" t="s">
        <v>278</v>
      </c>
    </row>
    <row r="37" spans="1:15" ht="54" customHeight="1" x14ac:dyDescent="0.25">
      <c r="A37" s="20">
        <v>33</v>
      </c>
      <c r="B37" s="14" t="s">
        <v>279</v>
      </c>
      <c r="C37" s="14" t="s">
        <v>116</v>
      </c>
      <c r="D37" s="20" t="s">
        <v>85</v>
      </c>
      <c r="E37" s="14" t="s">
        <v>27</v>
      </c>
      <c r="F37" s="14" t="s">
        <v>280</v>
      </c>
      <c r="G37" s="17" t="s">
        <v>8</v>
      </c>
      <c r="H37" s="15">
        <v>0.45</v>
      </c>
      <c r="I37" s="14" t="s">
        <v>87</v>
      </c>
      <c r="J37" s="14" t="s">
        <v>281</v>
      </c>
      <c r="K37" s="14" t="s">
        <v>282</v>
      </c>
      <c r="L37" s="14" t="s">
        <v>283</v>
      </c>
      <c r="M37" s="14" t="s">
        <v>91</v>
      </c>
      <c r="N37" s="14" t="s">
        <v>284</v>
      </c>
      <c r="O37" s="14" t="s">
        <v>285</v>
      </c>
    </row>
    <row r="38" spans="1:15" ht="66" customHeight="1" x14ac:dyDescent="0.25">
      <c r="A38" s="20">
        <v>34</v>
      </c>
      <c r="B38" s="14" t="s">
        <v>286</v>
      </c>
      <c r="C38" s="14" t="s">
        <v>116</v>
      </c>
      <c r="D38" s="20" t="s">
        <v>98</v>
      </c>
      <c r="E38" s="14" t="s">
        <v>16</v>
      </c>
      <c r="F38" s="14" t="s">
        <v>287</v>
      </c>
      <c r="G38" s="17" t="s">
        <v>8</v>
      </c>
      <c r="H38" s="15">
        <v>0.4</v>
      </c>
      <c r="I38" s="14" t="s">
        <v>87</v>
      </c>
      <c r="J38" s="14" t="s">
        <v>288</v>
      </c>
      <c r="K38" s="14" t="s">
        <v>289</v>
      </c>
      <c r="L38" s="14" t="s">
        <v>290</v>
      </c>
      <c r="M38" s="14" t="s">
        <v>91</v>
      </c>
      <c r="N38" s="14" t="s">
        <v>291</v>
      </c>
      <c r="O38" s="14" t="s">
        <v>292</v>
      </c>
    </row>
    <row r="39" spans="1:15" ht="66" customHeight="1" x14ac:dyDescent="0.25">
      <c r="A39" s="20">
        <v>35</v>
      </c>
      <c r="B39" s="14" t="s">
        <v>293</v>
      </c>
      <c r="C39" s="14" t="s">
        <v>116</v>
      </c>
      <c r="D39" s="20" t="s">
        <v>104</v>
      </c>
      <c r="E39" s="14" t="s">
        <v>32</v>
      </c>
      <c r="F39" s="14" t="s">
        <v>294</v>
      </c>
      <c r="G39" s="17" t="s">
        <v>8</v>
      </c>
      <c r="H39" s="15">
        <v>0.4</v>
      </c>
      <c r="I39" s="14" t="s">
        <v>87</v>
      </c>
      <c r="J39" s="14" t="s">
        <v>295</v>
      </c>
      <c r="K39" s="14" t="s">
        <v>296</v>
      </c>
      <c r="L39" s="14" t="s">
        <v>297</v>
      </c>
      <c r="M39" s="14" t="s">
        <v>91</v>
      </c>
      <c r="N39" s="14" t="s">
        <v>298</v>
      </c>
      <c r="O39" s="14" t="s">
        <v>299</v>
      </c>
    </row>
    <row r="40" spans="1:15" ht="90" customHeight="1" x14ac:dyDescent="0.25">
      <c r="A40" s="20">
        <v>36</v>
      </c>
      <c r="B40" s="14" t="s">
        <v>300</v>
      </c>
      <c r="C40" s="14" t="s">
        <v>110</v>
      </c>
      <c r="D40" s="20" t="s">
        <v>98</v>
      </c>
      <c r="E40" s="14" t="s">
        <v>16</v>
      </c>
      <c r="F40" s="14" t="s">
        <v>301</v>
      </c>
      <c r="G40" s="17" t="s">
        <v>8</v>
      </c>
      <c r="H40" s="15">
        <v>0.4</v>
      </c>
      <c r="I40" s="14" t="s">
        <v>87</v>
      </c>
      <c r="J40" s="14" t="s">
        <v>302</v>
      </c>
      <c r="K40" s="14" t="s">
        <v>303</v>
      </c>
      <c r="L40" s="14" t="s">
        <v>304</v>
      </c>
      <c r="M40" s="14" t="s">
        <v>91</v>
      </c>
      <c r="N40" s="14" t="s">
        <v>305</v>
      </c>
      <c r="O40" s="14" t="s">
        <v>306</v>
      </c>
    </row>
    <row r="41" spans="1:15" ht="66" customHeight="1" x14ac:dyDescent="0.25">
      <c r="A41" s="20">
        <v>37</v>
      </c>
      <c r="B41" s="14" t="s">
        <v>307</v>
      </c>
      <c r="C41" s="14" t="s">
        <v>110</v>
      </c>
      <c r="D41" s="20" t="s">
        <v>104</v>
      </c>
      <c r="E41" s="14" t="s">
        <v>32</v>
      </c>
      <c r="F41" s="14" t="s">
        <v>308</v>
      </c>
      <c r="G41" s="17" t="s">
        <v>8</v>
      </c>
      <c r="H41" s="15">
        <v>0.4</v>
      </c>
      <c r="I41" s="14" t="s">
        <v>87</v>
      </c>
      <c r="J41" s="14" t="s">
        <v>309</v>
      </c>
      <c r="K41" s="14" t="s">
        <v>310</v>
      </c>
      <c r="L41" s="14" t="s">
        <v>311</v>
      </c>
      <c r="M41" s="14" t="s">
        <v>91</v>
      </c>
      <c r="N41" s="14" t="s">
        <v>312</v>
      </c>
      <c r="O41" s="14" t="s">
        <v>313</v>
      </c>
    </row>
    <row r="42" spans="1:15" ht="114" customHeight="1" x14ac:dyDescent="0.25">
      <c r="A42" s="20">
        <v>38</v>
      </c>
      <c r="B42" s="14" t="s">
        <v>314</v>
      </c>
      <c r="C42" s="14" t="s">
        <v>116</v>
      </c>
      <c r="D42" s="20" t="s">
        <v>85</v>
      </c>
      <c r="E42" s="14" t="s">
        <v>15</v>
      </c>
      <c r="F42" s="14" t="s">
        <v>315</v>
      </c>
      <c r="G42" s="17" t="s">
        <v>8</v>
      </c>
      <c r="H42" s="15">
        <v>0.4</v>
      </c>
      <c r="I42" s="14" t="s">
        <v>87</v>
      </c>
      <c r="J42" s="14" t="s">
        <v>316</v>
      </c>
      <c r="K42" s="14" t="s">
        <v>317</v>
      </c>
      <c r="L42" s="14" t="s">
        <v>318</v>
      </c>
      <c r="M42" s="14" t="s">
        <v>91</v>
      </c>
      <c r="N42" s="14" t="s">
        <v>319</v>
      </c>
      <c r="O42" s="14" t="s">
        <v>320</v>
      </c>
    </row>
    <row r="43" spans="1:15" ht="78" customHeight="1" x14ac:dyDescent="0.25">
      <c r="A43" s="20">
        <v>39</v>
      </c>
      <c r="B43" s="14" t="s">
        <v>321</v>
      </c>
      <c r="C43" s="14" t="s">
        <v>116</v>
      </c>
      <c r="D43" s="20" t="s">
        <v>85</v>
      </c>
      <c r="E43" s="14" t="s">
        <v>27</v>
      </c>
      <c r="F43" s="14" t="s">
        <v>322</v>
      </c>
      <c r="G43" s="17" t="s">
        <v>8</v>
      </c>
      <c r="H43" s="15">
        <v>0.4</v>
      </c>
      <c r="I43" s="14" t="s">
        <v>87</v>
      </c>
      <c r="J43" s="14" t="s">
        <v>323</v>
      </c>
      <c r="K43" s="14" t="s">
        <v>324</v>
      </c>
      <c r="L43" s="14" t="s">
        <v>325</v>
      </c>
      <c r="M43" s="14" t="s">
        <v>91</v>
      </c>
      <c r="N43" s="14" t="s">
        <v>326</v>
      </c>
      <c r="O43" s="14" t="s">
        <v>327</v>
      </c>
    </row>
    <row r="44" spans="1:15" ht="78" customHeight="1" x14ac:dyDescent="0.25">
      <c r="A44" s="20">
        <v>40</v>
      </c>
      <c r="B44" s="14" t="s">
        <v>328</v>
      </c>
      <c r="C44" s="14" t="s">
        <v>116</v>
      </c>
      <c r="D44" s="20" t="s">
        <v>85</v>
      </c>
      <c r="E44" s="14" t="s">
        <v>27</v>
      </c>
      <c r="F44" s="14" t="s">
        <v>329</v>
      </c>
      <c r="G44" s="17" t="s">
        <v>8</v>
      </c>
      <c r="H44" s="15">
        <v>0.4</v>
      </c>
      <c r="I44" s="14" t="s">
        <v>87</v>
      </c>
      <c r="J44" s="14" t="s">
        <v>330</v>
      </c>
      <c r="K44" s="14" t="s">
        <v>331</v>
      </c>
      <c r="L44" s="14" t="s">
        <v>332</v>
      </c>
      <c r="M44" s="14" t="s">
        <v>91</v>
      </c>
      <c r="N44" s="14" t="s">
        <v>333</v>
      </c>
      <c r="O44" s="14" t="s">
        <v>334</v>
      </c>
    </row>
    <row r="45" spans="1:15" ht="78" customHeight="1" x14ac:dyDescent="0.25">
      <c r="A45" s="20">
        <v>41</v>
      </c>
      <c r="B45" s="14" t="s">
        <v>335</v>
      </c>
      <c r="C45" s="14" t="s">
        <v>116</v>
      </c>
      <c r="D45" s="20" t="s">
        <v>85</v>
      </c>
      <c r="E45" s="14" t="s">
        <v>27</v>
      </c>
      <c r="F45" s="14" t="s">
        <v>336</v>
      </c>
      <c r="G45" s="17" t="s">
        <v>8</v>
      </c>
      <c r="H45" s="15">
        <v>0.4</v>
      </c>
      <c r="I45" s="14" t="s">
        <v>87</v>
      </c>
      <c r="J45" s="14" t="s">
        <v>337</v>
      </c>
      <c r="K45" s="14" t="s">
        <v>338</v>
      </c>
      <c r="L45" s="14" t="s">
        <v>339</v>
      </c>
      <c r="M45" s="14" t="s">
        <v>91</v>
      </c>
      <c r="N45" s="14" t="s">
        <v>340</v>
      </c>
      <c r="O45" s="14" t="s">
        <v>341</v>
      </c>
    </row>
    <row r="46" spans="1:15" ht="90" customHeight="1" x14ac:dyDescent="0.25">
      <c r="A46" s="20">
        <v>42</v>
      </c>
      <c r="B46" s="14" t="s">
        <v>342</v>
      </c>
      <c r="C46" s="14" t="s">
        <v>116</v>
      </c>
      <c r="D46" s="20" t="s">
        <v>85</v>
      </c>
      <c r="E46" s="14" t="s">
        <v>27</v>
      </c>
      <c r="F46" s="14" t="s">
        <v>343</v>
      </c>
      <c r="G46" s="17" t="s">
        <v>8</v>
      </c>
      <c r="H46" s="15">
        <v>0.4</v>
      </c>
      <c r="I46" s="14" t="s">
        <v>87</v>
      </c>
      <c r="J46" s="14" t="s">
        <v>344</v>
      </c>
      <c r="K46" s="14" t="s">
        <v>345</v>
      </c>
      <c r="L46" s="14" t="s">
        <v>346</v>
      </c>
      <c r="M46" s="14" t="s">
        <v>91</v>
      </c>
      <c r="N46" s="14" t="s">
        <v>347</v>
      </c>
      <c r="O46" s="14" t="s">
        <v>348</v>
      </c>
    </row>
    <row r="47" spans="1:15" ht="102" customHeight="1" x14ac:dyDescent="0.25">
      <c r="A47" s="20">
        <v>43</v>
      </c>
      <c r="B47" s="14" t="s">
        <v>349</v>
      </c>
      <c r="C47" s="14" t="s">
        <v>110</v>
      </c>
      <c r="D47" s="20" t="s">
        <v>104</v>
      </c>
      <c r="E47" s="14" t="s">
        <v>32</v>
      </c>
      <c r="F47" s="14" t="s">
        <v>350</v>
      </c>
      <c r="G47" s="17" t="s">
        <v>8</v>
      </c>
      <c r="H47" s="15">
        <v>0.4</v>
      </c>
      <c r="I47" s="14" t="s">
        <v>87</v>
      </c>
      <c r="J47" s="14" t="s">
        <v>351</v>
      </c>
      <c r="K47" s="14" t="s">
        <v>352</v>
      </c>
      <c r="L47" s="14" t="s">
        <v>353</v>
      </c>
      <c r="M47" s="14" t="s">
        <v>91</v>
      </c>
      <c r="N47" s="14" t="s">
        <v>354</v>
      </c>
      <c r="O47" s="14" t="s">
        <v>355</v>
      </c>
    </row>
    <row r="48" spans="1:15" ht="90" customHeight="1" x14ac:dyDescent="0.25">
      <c r="A48" s="20">
        <v>44</v>
      </c>
      <c r="B48" s="14" t="s">
        <v>356</v>
      </c>
      <c r="C48" s="14" t="s">
        <v>116</v>
      </c>
      <c r="D48" s="20" t="s">
        <v>85</v>
      </c>
      <c r="E48" s="14" t="s">
        <v>14</v>
      </c>
      <c r="F48" s="14" t="s">
        <v>357</v>
      </c>
      <c r="G48" s="17" t="s">
        <v>8</v>
      </c>
      <c r="H48" s="15">
        <v>0.4</v>
      </c>
      <c r="I48" s="14" t="s">
        <v>87</v>
      </c>
      <c r="J48" s="14" t="s">
        <v>358</v>
      </c>
      <c r="K48" s="14" t="s">
        <v>359</v>
      </c>
      <c r="L48" s="14" t="s">
        <v>360</v>
      </c>
      <c r="M48" s="14" t="s">
        <v>91</v>
      </c>
      <c r="N48" s="14" t="s">
        <v>361</v>
      </c>
      <c r="O48" s="14" t="s">
        <v>362</v>
      </c>
    </row>
    <row r="49" spans="1:15" ht="90" customHeight="1" x14ac:dyDescent="0.25">
      <c r="A49" s="20">
        <v>45</v>
      </c>
      <c r="B49" s="14" t="s">
        <v>363</v>
      </c>
      <c r="C49" s="14" t="s">
        <v>127</v>
      </c>
      <c r="D49" s="20" t="s">
        <v>85</v>
      </c>
      <c r="E49" s="14" t="s">
        <v>14</v>
      </c>
      <c r="F49" s="14" t="s">
        <v>364</v>
      </c>
      <c r="G49" s="17" t="s">
        <v>8</v>
      </c>
      <c r="H49" s="15">
        <v>0.4</v>
      </c>
      <c r="I49" s="14" t="s">
        <v>87</v>
      </c>
      <c r="J49" s="14" t="s">
        <v>365</v>
      </c>
      <c r="K49" s="14" t="s">
        <v>366</v>
      </c>
      <c r="L49" s="14" t="s">
        <v>367</v>
      </c>
      <c r="M49" s="14" t="s">
        <v>91</v>
      </c>
      <c r="N49" s="14" t="s">
        <v>368</v>
      </c>
      <c r="O49" s="14" t="s">
        <v>369</v>
      </c>
    </row>
    <row r="50" spans="1:15" ht="75" customHeight="1" x14ac:dyDescent="0.25">
      <c r="A50" s="20">
        <v>46</v>
      </c>
      <c r="B50" s="14" t="s">
        <v>370</v>
      </c>
      <c r="C50" s="14" t="s">
        <v>84</v>
      </c>
      <c r="D50" s="20" t="s">
        <v>85</v>
      </c>
      <c r="E50" s="14" t="s">
        <v>39</v>
      </c>
      <c r="F50" s="14" t="s">
        <v>371</v>
      </c>
      <c r="G50" s="21" t="s">
        <v>10</v>
      </c>
      <c r="H50" s="15">
        <v>0.9</v>
      </c>
      <c r="I50" s="14" t="s">
        <v>372</v>
      </c>
      <c r="J50" s="14" t="s">
        <v>373</v>
      </c>
      <c r="K50" s="14" t="s">
        <v>374</v>
      </c>
      <c r="L50" s="14" t="s">
        <v>375</v>
      </c>
      <c r="M50" s="14" t="s">
        <v>376</v>
      </c>
      <c r="N50" s="14" t="s">
        <v>377</v>
      </c>
      <c r="O50" s="14" t="s">
        <v>378</v>
      </c>
    </row>
    <row r="51" spans="1:15" ht="75" customHeight="1" x14ac:dyDescent="0.25">
      <c r="A51" s="20">
        <v>47</v>
      </c>
      <c r="B51" s="14" t="s">
        <v>379</v>
      </c>
      <c r="C51" s="14" t="s">
        <v>84</v>
      </c>
      <c r="D51" s="20" t="s">
        <v>85</v>
      </c>
      <c r="E51" s="14" t="s">
        <v>39</v>
      </c>
      <c r="F51" s="14" t="s">
        <v>371</v>
      </c>
      <c r="G51" s="21" t="s">
        <v>10</v>
      </c>
      <c r="H51" s="15">
        <v>0.9</v>
      </c>
      <c r="I51" s="14" t="s">
        <v>372</v>
      </c>
      <c r="J51" s="14" t="s">
        <v>380</v>
      </c>
      <c r="K51" s="14" t="s">
        <v>381</v>
      </c>
      <c r="L51" s="14" t="s">
        <v>382</v>
      </c>
      <c r="M51" s="14" t="s">
        <v>383</v>
      </c>
      <c r="N51" s="14" t="s">
        <v>377</v>
      </c>
      <c r="O51" s="14" t="s">
        <v>384</v>
      </c>
    </row>
    <row r="52" spans="1:15" ht="75" customHeight="1" x14ac:dyDescent="0.25">
      <c r="A52" s="20">
        <v>48</v>
      </c>
      <c r="B52" s="14" t="s">
        <v>385</v>
      </c>
      <c r="C52" s="14" t="s">
        <v>84</v>
      </c>
      <c r="D52" s="20" t="s">
        <v>85</v>
      </c>
      <c r="E52" s="14" t="s">
        <v>39</v>
      </c>
      <c r="F52" s="14" t="s">
        <v>371</v>
      </c>
      <c r="G52" s="21" t="s">
        <v>10</v>
      </c>
      <c r="H52" s="15">
        <v>0.9</v>
      </c>
      <c r="I52" s="14" t="s">
        <v>372</v>
      </c>
      <c r="J52" s="14" t="s">
        <v>386</v>
      </c>
      <c r="K52" s="14" t="s">
        <v>387</v>
      </c>
      <c r="L52" s="14" t="s">
        <v>375</v>
      </c>
      <c r="M52" s="14" t="s">
        <v>388</v>
      </c>
      <c r="N52" s="14" t="s">
        <v>377</v>
      </c>
      <c r="O52" s="14" t="s">
        <v>389</v>
      </c>
    </row>
    <row r="53" spans="1:15" ht="75" customHeight="1" x14ac:dyDescent="0.25">
      <c r="A53" s="20">
        <v>49</v>
      </c>
      <c r="B53" s="14" t="s">
        <v>390</v>
      </c>
      <c r="C53" s="14" t="s">
        <v>116</v>
      </c>
      <c r="D53" s="20" t="s">
        <v>85</v>
      </c>
      <c r="E53" s="14" t="s">
        <v>14</v>
      </c>
      <c r="F53" s="14" t="s">
        <v>391</v>
      </c>
      <c r="G53" s="21" t="s">
        <v>10</v>
      </c>
      <c r="H53" s="15">
        <v>0.85</v>
      </c>
      <c r="I53" s="14" t="s">
        <v>372</v>
      </c>
      <c r="J53" s="14" t="s">
        <v>392</v>
      </c>
      <c r="K53" s="14" t="s">
        <v>393</v>
      </c>
      <c r="L53" s="14" t="s">
        <v>394</v>
      </c>
      <c r="M53" s="14" t="s">
        <v>395</v>
      </c>
      <c r="N53" s="14" t="s">
        <v>377</v>
      </c>
      <c r="O53" s="14" t="s">
        <v>396</v>
      </c>
    </row>
    <row r="54" spans="1:15" ht="75" customHeight="1" x14ac:dyDescent="0.25">
      <c r="A54" s="20">
        <v>50</v>
      </c>
      <c r="B54" s="14" t="s">
        <v>397</v>
      </c>
      <c r="C54" s="14" t="s">
        <v>84</v>
      </c>
      <c r="D54" s="20" t="s">
        <v>85</v>
      </c>
      <c r="E54" s="14" t="s">
        <v>39</v>
      </c>
      <c r="F54" s="14" t="s">
        <v>371</v>
      </c>
      <c r="G54" s="21" t="s">
        <v>10</v>
      </c>
      <c r="H54" s="15">
        <v>0.85</v>
      </c>
      <c r="I54" s="14" t="s">
        <v>372</v>
      </c>
      <c r="J54" s="14" t="s">
        <v>398</v>
      </c>
      <c r="K54" s="14" t="s">
        <v>399</v>
      </c>
      <c r="L54" s="14" t="s">
        <v>400</v>
      </c>
      <c r="M54" s="14" t="s">
        <v>401</v>
      </c>
      <c r="N54" s="14" t="s">
        <v>377</v>
      </c>
      <c r="O54" s="14" t="s">
        <v>402</v>
      </c>
    </row>
    <row r="55" spans="1:15" ht="75" customHeight="1" x14ac:dyDescent="0.25">
      <c r="A55" s="20">
        <v>51</v>
      </c>
      <c r="B55" s="14" t="s">
        <v>403</v>
      </c>
      <c r="C55" s="14" t="s">
        <v>116</v>
      </c>
      <c r="D55" s="20" t="s">
        <v>85</v>
      </c>
      <c r="E55" s="14" t="s">
        <v>27</v>
      </c>
      <c r="F55" s="14" t="s">
        <v>404</v>
      </c>
      <c r="G55" s="21" t="s">
        <v>10</v>
      </c>
      <c r="H55" s="15">
        <v>0.85</v>
      </c>
      <c r="I55" s="14" t="s">
        <v>372</v>
      </c>
      <c r="J55" s="14" t="s">
        <v>405</v>
      </c>
      <c r="K55" s="14" t="s">
        <v>406</v>
      </c>
      <c r="L55" s="14" t="s">
        <v>407</v>
      </c>
      <c r="M55" s="14" t="s">
        <v>408</v>
      </c>
      <c r="N55" s="14" t="s">
        <v>377</v>
      </c>
      <c r="O55" s="14" t="s">
        <v>409</v>
      </c>
    </row>
    <row r="56" spans="1:15" ht="75" customHeight="1" x14ac:dyDescent="0.25">
      <c r="A56" s="20">
        <v>52</v>
      </c>
      <c r="B56" s="14" t="s">
        <v>410</v>
      </c>
      <c r="C56" s="14" t="s">
        <v>127</v>
      </c>
      <c r="D56" s="20" t="s">
        <v>85</v>
      </c>
      <c r="E56" s="14" t="s">
        <v>14</v>
      </c>
      <c r="F56" s="14" t="s">
        <v>411</v>
      </c>
      <c r="G56" s="21" t="s">
        <v>10</v>
      </c>
      <c r="H56" s="15">
        <v>0.8</v>
      </c>
      <c r="I56" s="14" t="s">
        <v>372</v>
      </c>
      <c r="J56" s="14" t="s">
        <v>412</v>
      </c>
      <c r="K56" s="14" t="s">
        <v>413</v>
      </c>
      <c r="L56" s="14" t="s">
        <v>414</v>
      </c>
      <c r="M56" s="14" t="s">
        <v>415</v>
      </c>
      <c r="N56" s="14" t="s">
        <v>377</v>
      </c>
      <c r="O56" s="14" t="s">
        <v>416</v>
      </c>
    </row>
    <row r="57" spans="1:15" ht="75" customHeight="1" x14ac:dyDescent="0.25">
      <c r="A57" s="20">
        <v>53</v>
      </c>
      <c r="B57" s="14" t="s">
        <v>417</v>
      </c>
      <c r="C57" s="14" t="s">
        <v>116</v>
      </c>
      <c r="D57" s="20" t="s">
        <v>85</v>
      </c>
      <c r="E57" s="14" t="s">
        <v>15</v>
      </c>
      <c r="F57" s="14" t="s">
        <v>418</v>
      </c>
      <c r="G57" s="21" t="s">
        <v>10</v>
      </c>
      <c r="H57" s="15">
        <v>0.8</v>
      </c>
      <c r="I57" s="14" t="s">
        <v>372</v>
      </c>
      <c r="J57" s="14" t="s">
        <v>419</v>
      </c>
      <c r="K57" s="14" t="s">
        <v>420</v>
      </c>
      <c r="L57" s="14" t="s">
        <v>421</v>
      </c>
      <c r="M57" s="14" t="s">
        <v>422</v>
      </c>
      <c r="N57" s="14" t="s">
        <v>377</v>
      </c>
      <c r="O57" s="14" t="s">
        <v>423</v>
      </c>
    </row>
    <row r="58" spans="1:15" ht="75" customHeight="1" x14ac:dyDescent="0.25">
      <c r="A58" s="20">
        <v>54</v>
      </c>
      <c r="B58" s="14" t="s">
        <v>424</v>
      </c>
      <c r="C58" s="14" t="s">
        <v>110</v>
      </c>
      <c r="D58" s="20" t="s">
        <v>85</v>
      </c>
      <c r="E58" s="14" t="s">
        <v>14</v>
      </c>
      <c r="F58" s="14" t="s">
        <v>411</v>
      </c>
      <c r="G58" s="21" t="s">
        <v>10</v>
      </c>
      <c r="H58" s="15">
        <v>0.75</v>
      </c>
      <c r="I58" s="14" t="s">
        <v>425</v>
      </c>
      <c r="J58" s="14" t="s">
        <v>426</v>
      </c>
      <c r="K58" s="14" t="s">
        <v>371</v>
      </c>
      <c r="L58" s="14" t="s">
        <v>427</v>
      </c>
      <c r="M58" s="14" t="s">
        <v>428</v>
      </c>
      <c r="N58" s="14" t="s">
        <v>377</v>
      </c>
      <c r="O58" s="14" t="s">
        <v>429</v>
      </c>
    </row>
    <row r="59" spans="1:15" ht="75" customHeight="1" x14ac:dyDescent="0.25">
      <c r="A59" s="20">
        <v>55</v>
      </c>
      <c r="B59" s="14" t="s">
        <v>430</v>
      </c>
      <c r="C59" s="14" t="s">
        <v>116</v>
      </c>
      <c r="D59" s="20" t="s">
        <v>85</v>
      </c>
      <c r="E59" s="14" t="s">
        <v>15</v>
      </c>
      <c r="F59" s="14" t="s">
        <v>259</v>
      </c>
      <c r="G59" s="21" t="s">
        <v>10</v>
      </c>
      <c r="H59" s="15">
        <v>0.75</v>
      </c>
      <c r="I59" s="14" t="s">
        <v>372</v>
      </c>
      <c r="J59" s="14" t="s">
        <v>431</v>
      </c>
      <c r="K59" s="14" t="s">
        <v>432</v>
      </c>
      <c r="L59" s="14" t="s">
        <v>433</v>
      </c>
      <c r="M59" s="14" t="s">
        <v>434</v>
      </c>
      <c r="N59" s="14" t="s">
        <v>377</v>
      </c>
      <c r="O59" s="14" t="s">
        <v>435</v>
      </c>
    </row>
    <row r="60" spans="1:15" ht="75" customHeight="1" x14ac:dyDescent="0.25">
      <c r="A60" s="20">
        <v>56</v>
      </c>
      <c r="B60" s="14" t="s">
        <v>436</v>
      </c>
      <c r="C60" s="14" t="s">
        <v>116</v>
      </c>
      <c r="D60" s="20" t="s">
        <v>85</v>
      </c>
      <c r="E60" s="14" t="s">
        <v>15</v>
      </c>
      <c r="F60" s="14" t="s">
        <v>437</v>
      </c>
      <c r="G60" s="21" t="s">
        <v>10</v>
      </c>
      <c r="H60" s="15">
        <v>0.75</v>
      </c>
      <c r="I60" s="14" t="s">
        <v>372</v>
      </c>
      <c r="J60" s="14" t="s">
        <v>438</v>
      </c>
      <c r="K60" s="14" t="s">
        <v>439</v>
      </c>
      <c r="L60" s="14" t="s">
        <v>440</v>
      </c>
      <c r="M60" s="14" t="s">
        <v>441</v>
      </c>
      <c r="N60" s="14" t="s">
        <v>377</v>
      </c>
      <c r="O60" s="14" t="s">
        <v>442</v>
      </c>
    </row>
    <row r="61" spans="1:15" ht="75" customHeight="1" x14ac:dyDescent="0.25">
      <c r="A61" s="20">
        <v>57</v>
      </c>
      <c r="B61" s="14" t="s">
        <v>443</v>
      </c>
      <c r="C61" s="14" t="s">
        <v>127</v>
      </c>
      <c r="D61" s="20" t="s">
        <v>85</v>
      </c>
      <c r="E61" s="14" t="s">
        <v>14</v>
      </c>
      <c r="F61" s="14" t="s">
        <v>444</v>
      </c>
      <c r="G61" s="21" t="s">
        <v>10</v>
      </c>
      <c r="H61" s="15">
        <v>0.75</v>
      </c>
      <c r="I61" s="14" t="s">
        <v>372</v>
      </c>
      <c r="J61" s="14" t="s">
        <v>445</v>
      </c>
      <c r="K61" s="14" t="s">
        <v>446</v>
      </c>
      <c r="L61" s="14" t="s">
        <v>447</v>
      </c>
      <c r="M61" s="14" t="s">
        <v>448</v>
      </c>
      <c r="N61" s="14" t="s">
        <v>377</v>
      </c>
      <c r="O61" s="14" t="s">
        <v>449</v>
      </c>
    </row>
    <row r="62" spans="1:15" ht="75" customHeight="1" x14ac:dyDescent="0.25">
      <c r="A62" s="20">
        <v>58</v>
      </c>
      <c r="B62" s="14" t="s">
        <v>450</v>
      </c>
      <c r="C62" s="14" t="s">
        <v>110</v>
      </c>
      <c r="D62" s="20" t="s">
        <v>85</v>
      </c>
      <c r="E62" s="14" t="s">
        <v>15</v>
      </c>
      <c r="F62" s="14" t="s">
        <v>451</v>
      </c>
      <c r="G62" s="21" t="s">
        <v>10</v>
      </c>
      <c r="H62" s="15">
        <v>0.7</v>
      </c>
      <c r="I62" s="14" t="s">
        <v>372</v>
      </c>
      <c r="J62" s="14" t="s">
        <v>452</v>
      </c>
      <c r="K62" s="14" t="s">
        <v>453</v>
      </c>
      <c r="L62" s="14" t="s">
        <v>454</v>
      </c>
      <c r="M62" s="14" t="s">
        <v>395</v>
      </c>
      <c r="N62" s="14" t="s">
        <v>377</v>
      </c>
      <c r="O62" s="14" t="s">
        <v>455</v>
      </c>
    </row>
    <row r="63" spans="1:15" ht="75" customHeight="1" x14ac:dyDescent="0.25">
      <c r="A63" s="20">
        <v>59</v>
      </c>
      <c r="B63" s="14" t="s">
        <v>456</v>
      </c>
      <c r="C63" s="14" t="s">
        <v>127</v>
      </c>
      <c r="D63" s="20" t="s">
        <v>85</v>
      </c>
      <c r="E63" s="14" t="s">
        <v>14</v>
      </c>
      <c r="F63" s="14" t="s">
        <v>457</v>
      </c>
      <c r="G63" s="21" t="s">
        <v>10</v>
      </c>
      <c r="H63" s="15">
        <v>0.7</v>
      </c>
      <c r="I63" s="14" t="s">
        <v>372</v>
      </c>
      <c r="J63" s="14" t="s">
        <v>458</v>
      </c>
      <c r="K63" s="14" t="s">
        <v>459</v>
      </c>
      <c r="L63" s="14" t="s">
        <v>460</v>
      </c>
      <c r="M63" s="14" t="s">
        <v>461</v>
      </c>
      <c r="N63" s="14" t="s">
        <v>377</v>
      </c>
      <c r="O63" s="14" t="s">
        <v>462</v>
      </c>
    </row>
    <row r="64" spans="1:15" ht="75" customHeight="1" x14ac:dyDescent="0.25">
      <c r="A64" s="20">
        <v>60</v>
      </c>
      <c r="B64" s="14" t="s">
        <v>463</v>
      </c>
      <c r="C64" s="14" t="s">
        <v>110</v>
      </c>
      <c r="D64" s="20" t="s">
        <v>85</v>
      </c>
      <c r="E64" s="14" t="s">
        <v>14</v>
      </c>
      <c r="F64" s="14" t="s">
        <v>464</v>
      </c>
      <c r="G64" s="21" t="s">
        <v>10</v>
      </c>
      <c r="H64" s="15">
        <v>0.7</v>
      </c>
      <c r="I64" s="14" t="s">
        <v>372</v>
      </c>
      <c r="J64" s="14" t="s">
        <v>174</v>
      </c>
      <c r="K64" s="14" t="s">
        <v>371</v>
      </c>
      <c r="L64" s="14" t="s">
        <v>465</v>
      </c>
      <c r="M64" s="14" t="s">
        <v>466</v>
      </c>
      <c r="N64" s="14" t="s">
        <v>377</v>
      </c>
      <c r="O64" s="14" t="s">
        <v>467</v>
      </c>
    </row>
    <row r="65" spans="1:15" ht="75" customHeight="1" x14ac:dyDescent="0.25">
      <c r="A65" s="20">
        <v>61</v>
      </c>
      <c r="B65" s="14" t="s">
        <v>468</v>
      </c>
      <c r="C65" s="14" t="s">
        <v>110</v>
      </c>
      <c r="D65" s="20" t="s">
        <v>104</v>
      </c>
      <c r="E65" s="14" t="s">
        <v>32</v>
      </c>
      <c r="F65" s="14" t="s">
        <v>469</v>
      </c>
      <c r="G65" s="21" t="s">
        <v>10</v>
      </c>
      <c r="H65" s="15">
        <v>0.7</v>
      </c>
      <c r="I65" s="14" t="s">
        <v>372</v>
      </c>
      <c r="J65" s="14" t="s">
        <v>470</v>
      </c>
      <c r="K65" s="14" t="s">
        <v>471</v>
      </c>
      <c r="L65" s="14" t="s">
        <v>472</v>
      </c>
      <c r="M65" s="14" t="s">
        <v>473</v>
      </c>
      <c r="N65" s="14" t="s">
        <v>377</v>
      </c>
      <c r="O65" s="14" t="s">
        <v>474</v>
      </c>
    </row>
    <row r="66" spans="1:15" ht="75" customHeight="1" x14ac:dyDescent="0.25">
      <c r="A66" s="20">
        <v>62</v>
      </c>
      <c r="B66" s="14" t="s">
        <v>475</v>
      </c>
      <c r="C66" s="14" t="s">
        <v>116</v>
      </c>
      <c r="D66" s="20" t="s">
        <v>85</v>
      </c>
      <c r="E66" s="14" t="s">
        <v>27</v>
      </c>
      <c r="F66" s="14" t="s">
        <v>476</v>
      </c>
      <c r="G66" s="21" t="s">
        <v>10</v>
      </c>
      <c r="H66" s="15">
        <v>0.65</v>
      </c>
      <c r="I66" s="14" t="s">
        <v>372</v>
      </c>
      <c r="J66" s="14" t="s">
        <v>477</v>
      </c>
      <c r="K66" s="14" t="s">
        <v>478</v>
      </c>
      <c r="L66" s="14" t="s">
        <v>479</v>
      </c>
      <c r="M66" s="14" t="s">
        <v>480</v>
      </c>
      <c r="N66" s="14" t="s">
        <v>377</v>
      </c>
      <c r="O66" s="14" t="s">
        <v>481</v>
      </c>
    </row>
    <row r="67" spans="1:15" ht="75" customHeight="1" x14ac:dyDescent="0.25">
      <c r="A67" s="20">
        <v>63</v>
      </c>
      <c r="B67" s="14" t="s">
        <v>482</v>
      </c>
      <c r="C67" s="14" t="s">
        <v>127</v>
      </c>
      <c r="D67" s="20" t="s">
        <v>85</v>
      </c>
      <c r="E67" s="14" t="s">
        <v>15</v>
      </c>
      <c r="F67" s="14" t="s">
        <v>483</v>
      </c>
      <c r="G67" s="21" t="s">
        <v>10</v>
      </c>
      <c r="H67" s="15">
        <v>0.65</v>
      </c>
      <c r="I67" s="14" t="s">
        <v>372</v>
      </c>
      <c r="J67" s="14" t="s">
        <v>484</v>
      </c>
      <c r="K67" s="14" t="s">
        <v>485</v>
      </c>
      <c r="L67" s="14" t="s">
        <v>486</v>
      </c>
      <c r="M67" s="14" t="s">
        <v>487</v>
      </c>
      <c r="N67" s="14" t="s">
        <v>377</v>
      </c>
      <c r="O67" s="14" t="s">
        <v>488</v>
      </c>
    </row>
    <row r="68" spans="1:15" ht="75" customHeight="1" x14ac:dyDescent="0.25">
      <c r="A68" s="20">
        <v>64</v>
      </c>
      <c r="B68" s="14" t="s">
        <v>489</v>
      </c>
      <c r="C68" s="14" t="s">
        <v>127</v>
      </c>
      <c r="D68" s="20" t="s">
        <v>85</v>
      </c>
      <c r="E68" s="14" t="s">
        <v>27</v>
      </c>
      <c r="F68" s="14" t="s">
        <v>490</v>
      </c>
      <c r="G68" s="21" t="s">
        <v>10</v>
      </c>
      <c r="H68" s="15">
        <v>0.65</v>
      </c>
      <c r="I68" s="14" t="s">
        <v>372</v>
      </c>
      <c r="J68" s="14" t="s">
        <v>491</v>
      </c>
      <c r="K68" s="14" t="s">
        <v>485</v>
      </c>
      <c r="L68" s="14" t="s">
        <v>492</v>
      </c>
      <c r="M68" s="14" t="s">
        <v>493</v>
      </c>
      <c r="N68" s="14" t="s">
        <v>377</v>
      </c>
      <c r="O68" s="14" t="s">
        <v>494</v>
      </c>
    </row>
    <row r="69" spans="1:15" ht="75" customHeight="1" x14ac:dyDescent="0.25">
      <c r="A69" s="20">
        <v>65</v>
      </c>
      <c r="B69" s="14" t="s">
        <v>495</v>
      </c>
      <c r="C69" s="14" t="s">
        <v>110</v>
      </c>
      <c r="D69" s="20" t="s">
        <v>98</v>
      </c>
      <c r="E69" s="14" t="s">
        <v>16</v>
      </c>
      <c r="F69" s="14" t="s">
        <v>496</v>
      </c>
      <c r="G69" s="21" t="s">
        <v>10</v>
      </c>
      <c r="H69" s="15">
        <v>0.65</v>
      </c>
      <c r="I69" s="14" t="s">
        <v>372</v>
      </c>
      <c r="J69" s="14" t="s">
        <v>497</v>
      </c>
      <c r="K69" s="14" t="s">
        <v>498</v>
      </c>
      <c r="L69" s="14" t="s">
        <v>499</v>
      </c>
      <c r="M69" s="14" t="s">
        <v>500</v>
      </c>
      <c r="N69" s="14" t="s">
        <v>377</v>
      </c>
      <c r="O69" s="14" t="s">
        <v>501</v>
      </c>
    </row>
    <row r="70" spans="1:15" ht="75" customHeight="1" x14ac:dyDescent="0.25">
      <c r="A70" s="20">
        <v>66</v>
      </c>
      <c r="B70" s="14" t="s">
        <v>502</v>
      </c>
      <c r="C70" s="14" t="s">
        <v>127</v>
      </c>
      <c r="D70" s="20" t="s">
        <v>85</v>
      </c>
      <c r="E70" s="14" t="s">
        <v>15</v>
      </c>
      <c r="F70" s="14" t="s">
        <v>503</v>
      </c>
      <c r="G70" s="21" t="s">
        <v>10</v>
      </c>
      <c r="H70" s="15">
        <v>0.65</v>
      </c>
      <c r="I70" s="14" t="s">
        <v>372</v>
      </c>
      <c r="J70" s="14" t="s">
        <v>504</v>
      </c>
      <c r="K70" s="14" t="s">
        <v>505</v>
      </c>
      <c r="L70" s="14" t="s">
        <v>506</v>
      </c>
      <c r="M70" s="14" t="s">
        <v>507</v>
      </c>
      <c r="N70" s="14" t="s">
        <v>377</v>
      </c>
      <c r="O70" s="14" t="s">
        <v>508</v>
      </c>
    </row>
    <row r="71" spans="1:15" ht="75" customHeight="1" x14ac:dyDescent="0.25">
      <c r="A71" s="20">
        <v>67</v>
      </c>
      <c r="B71" s="14" t="s">
        <v>509</v>
      </c>
      <c r="C71" s="14" t="s">
        <v>110</v>
      </c>
      <c r="D71" s="20" t="s">
        <v>104</v>
      </c>
      <c r="E71" s="14" t="s">
        <v>32</v>
      </c>
      <c r="F71" s="14" t="s">
        <v>510</v>
      </c>
      <c r="G71" s="21" t="s">
        <v>10</v>
      </c>
      <c r="H71" s="15">
        <v>0.65</v>
      </c>
      <c r="I71" s="14" t="s">
        <v>372</v>
      </c>
      <c r="J71" s="14" t="s">
        <v>511</v>
      </c>
      <c r="K71" s="14" t="s">
        <v>512</v>
      </c>
      <c r="L71" s="14" t="s">
        <v>513</v>
      </c>
      <c r="M71" s="14" t="s">
        <v>514</v>
      </c>
      <c r="N71" s="14" t="s">
        <v>377</v>
      </c>
      <c r="O71" s="14" t="s">
        <v>515</v>
      </c>
    </row>
    <row r="72" spans="1:15" ht="75" customHeight="1" x14ac:dyDescent="0.25">
      <c r="A72" s="20">
        <v>68</v>
      </c>
      <c r="B72" s="14" t="s">
        <v>516</v>
      </c>
      <c r="C72" s="14" t="s">
        <v>110</v>
      </c>
      <c r="D72" s="20" t="s">
        <v>85</v>
      </c>
      <c r="E72" s="14" t="s">
        <v>39</v>
      </c>
      <c r="F72" s="14" t="s">
        <v>517</v>
      </c>
      <c r="G72" s="21" t="s">
        <v>10</v>
      </c>
      <c r="H72" s="15">
        <v>0.65</v>
      </c>
      <c r="I72" s="14" t="s">
        <v>372</v>
      </c>
      <c r="J72" s="14" t="s">
        <v>518</v>
      </c>
      <c r="K72" s="14" t="s">
        <v>519</v>
      </c>
      <c r="L72" s="14" t="s">
        <v>520</v>
      </c>
      <c r="M72" s="14" t="s">
        <v>521</v>
      </c>
      <c r="N72" s="14" t="s">
        <v>377</v>
      </c>
      <c r="O72" s="14" t="s">
        <v>522</v>
      </c>
    </row>
    <row r="73" spans="1:15" ht="75" customHeight="1" x14ac:dyDescent="0.25">
      <c r="A73" s="20">
        <v>69</v>
      </c>
      <c r="B73" s="14" t="s">
        <v>523</v>
      </c>
      <c r="C73" s="14" t="s">
        <v>110</v>
      </c>
      <c r="D73" s="20" t="s">
        <v>85</v>
      </c>
      <c r="E73" s="14" t="s">
        <v>15</v>
      </c>
      <c r="F73" s="14" t="s">
        <v>524</v>
      </c>
      <c r="G73" s="21" t="s">
        <v>10</v>
      </c>
      <c r="H73" s="15">
        <v>0.65</v>
      </c>
      <c r="I73" s="14" t="s">
        <v>372</v>
      </c>
      <c r="J73" s="14" t="s">
        <v>525</v>
      </c>
      <c r="K73" s="14" t="s">
        <v>371</v>
      </c>
      <c r="L73" s="14" t="s">
        <v>465</v>
      </c>
      <c r="M73" s="14" t="s">
        <v>526</v>
      </c>
      <c r="N73" s="14" t="s">
        <v>377</v>
      </c>
      <c r="O73" s="14" t="s">
        <v>467</v>
      </c>
    </row>
    <row r="74" spans="1:15" ht="75" customHeight="1" x14ac:dyDescent="0.25">
      <c r="A74" s="20">
        <v>70</v>
      </c>
      <c r="B74" s="14" t="s">
        <v>527</v>
      </c>
      <c r="C74" s="14" t="s">
        <v>110</v>
      </c>
      <c r="D74" s="20" t="s">
        <v>98</v>
      </c>
      <c r="E74" s="14" t="s">
        <v>16</v>
      </c>
      <c r="F74" s="14" t="s">
        <v>528</v>
      </c>
      <c r="G74" s="21" t="s">
        <v>10</v>
      </c>
      <c r="H74" s="15">
        <v>0.65</v>
      </c>
      <c r="I74" s="14" t="s">
        <v>372</v>
      </c>
      <c r="J74" s="14" t="s">
        <v>529</v>
      </c>
      <c r="K74" s="14" t="s">
        <v>530</v>
      </c>
      <c r="L74" s="14" t="s">
        <v>531</v>
      </c>
      <c r="M74" s="14" t="s">
        <v>532</v>
      </c>
      <c r="N74" s="14" t="s">
        <v>377</v>
      </c>
      <c r="O74" s="14" t="s">
        <v>533</v>
      </c>
    </row>
    <row r="75" spans="1:15" ht="75" customHeight="1" x14ac:dyDescent="0.25">
      <c r="A75" s="20">
        <v>71</v>
      </c>
      <c r="B75" s="14" t="s">
        <v>534</v>
      </c>
      <c r="C75" s="14" t="s">
        <v>127</v>
      </c>
      <c r="D75" s="20" t="s">
        <v>85</v>
      </c>
      <c r="E75" s="14" t="s">
        <v>15</v>
      </c>
      <c r="F75" s="14" t="s">
        <v>259</v>
      </c>
      <c r="G75" s="21" t="s">
        <v>10</v>
      </c>
      <c r="H75" s="15">
        <v>0.6</v>
      </c>
      <c r="I75" s="14" t="s">
        <v>372</v>
      </c>
      <c r="J75" s="14" t="s">
        <v>535</v>
      </c>
      <c r="K75" s="14" t="s">
        <v>536</v>
      </c>
      <c r="L75" s="14" t="s">
        <v>537</v>
      </c>
      <c r="M75" s="14" t="s">
        <v>538</v>
      </c>
      <c r="N75" s="14" t="s">
        <v>377</v>
      </c>
      <c r="O75" s="14" t="s">
        <v>539</v>
      </c>
    </row>
    <row r="76" spans="1:15" ht="75" customHeight="1" x14ac:dyDescent="0.25">
      <c r="A76" s="20">
        <v>72</v>
      </c>
      <c r="B76" s="14" t="s">
        <v>540</v>
      </c>
      <c r="C76" s="14" t="s">
        <v>110</v>
      </c>
      <c r="D76" s="20" t="s">
        <v>85</v>
      </c>
      <c r="E76" s="14" t="s">
        <v>15</v>
      </c>
      <c r="F76" s="14" t="s">
        <v>541</v>
      </c>
      <c r="G76" s="21" t="s">
        <v>10</v>
      </c>
      <c r="H76" s="15">
        <v>0.6</v>
      </c>
      <c r="I76" s="14" t="s">
        <v>372</v>
      </c>
      <c r="J76" s="14" t="s">
        <v>542</v>
      </c>
      <c r="K76" s="14" t="s">
        <v>543</v>
      </c>
      <c r="L76" s="14" t="s">
        <v>544</v>
      </c>
      <c r="M76" s="14" t="s">
        <v>545</v>
      </c>
      <c r="N76" s="14" t="s">
        <v>377</v>
      </c>
      <c r="O76" s="14" t="s">
        <v>546</v>
      </c>
    </row>
    <row r="77" spans="1:15" ht="75" customHeight="1" x14ac:dyDescent="0.25">
      <c r="A77" s="20">
        <v>73</v>
      </c>
      <c r="B77" s="14" t="s">
        <v>547</v>
      </c>
      <c r="C77" s="14" t="s">
        <v>127</v>
      </c>
      <c r="D77" s="20" t="s">
        <v>85</v>
      </c>
      <c r="E77" s="14" t="s">
        <v>15</v>
      </c>
      <c r="F77" s="14" t="s">
        <v>548</v>
      </c>
      <c r="G77" s="21" t="s">
        <v>10</v>
      </c>
      <c r="H77" s="15">
        <v>0.6</v>
      </c>
      <c r="I77" s="14" t="s">
        <v>372</v>
      </c>
      <c r="J77" s="14" t="s">
        <v>549</v>
      </c>
      <c r="K77" s="14" t="s">
        <v>485</v>
      </c>
      <c r="L77" s="14" t="s">
        <v>550</v>
      </c>
      <c r="M77" s="14" t="s">
        <v>551</v>
      </c>
      <c r="N77" s="14" t="s">
        <v>377</v>
      </c>
      <c r="O77" s="14" t="s">
        <v>552</v>
      </c>
    </row>
    <row r="78" spans="1:15" ht="75" customHeight="1" x14ac:dyDescent="0.25">
      <c r="A78" s="20">
        <v>74</v>
      </c>
      <c r="B78" s="14" t="s">
        <v>553</v>
      </c>
      <c r="C78" s="14" t="s">
        <v>127</v>
      </c>
      <c r="D78" s="20" t="s">
        <v>85</v>
      </c>
      <c r="E78" s="14" t="s">
        <v>14</v>
      </c>
      <c r="F78" s="14" t="s">
        <v>554</v>
      </c>
      <c r="G78" s="21" t="s">
        <v>10</v>
      </c>
      <c r="H78" s="15">
        <v>0.6</v>
      </c>
      <c r="I78" s="14" t="s">
        <v>372</v>
      </c>
      <c r="J78" s="14" t="s">
        <v>555</v>
      </c>
      <c r="K78" s="14" t="s">
        <v>556</v>
      </c>
      <c r="L78" s="14" t="s">
        <v>557</v>
      </c>
      <c r="M78" s="14" t="s">
        <v>558</v>
      </c>
      <c r="N78" s="14" t="s">
        <v>377</v>
      </c>
      <c r="O78" s="14" t="s">
        <v>559</v>
      </c>
    </row>
    <row r="79" spans="1:15" ht="75" customHeight="1" x14ac:dyDescent="0.25">
      <c r="A79" s="20">
        <v>75</v>
      </c>
      <c r="B79" s="14" t="s">
        <v>560</v>
      </c>
      <c r="C79" s="14" t="s">
        <v>127</v>
      </c>
      <c r="D79" s="20" t="s">
        <v>85</v>
      </c>
      <c r="E79" s="14" t="s">
        <v>15</v>
      </c>
      <c r="F79" s="14" t="s">
        <v>561</v>
      </c>
      <c r="G79" s="21" t="s">
        <v>10</v>
      </c>
      <c r="H79" s="15">
        <v>0.6</v>
      </c>
      <c r="I79" s="14" t="s">
        <v>372</v>
      </c>
      <c r="J79" s="14" t="s">
        <v>562</v>
      </c>
      <c r="K79" s="14" t="s">
        <v>563</v>
      </c>
      <c r="L79" s="14" t="s">
        <v>564</v>
      </c>
      <c r="M79" s="14" t="s">
        <v>565</v>
      </c>
      <c r="N79" s="14" t="s">
        <v>377</v>
      </c>
      <c r="O79" s="14" t="s">
        <v>566</v>
      </c>
    </row>
    <row r="80" spans="1:15" ht="75" customHeight="1" x14ac:dyDescent="0.25">
      <c r="A80" s="20">
        <v>76</v>
      </c>
      <c r="B80" s="14" t="s">
        <v>567</v>
      </c>
      <c r="C80" s="14" t="s">
        <v>110</v>
      </c>
      <c r="D80" s="20" t="s">
        <v>85</v>
      </c>
      <c r="E80" s="14" t="s">
        <v>15</v>
      </c>
      <c r="F80" s="14" t="s">
        <v>568</v>
      </c>
      <c r="G80" s="21" t="s">
        <v>10</v>
      </c>
      <c r="H80" s="15">
        <v>0.6</v>
      </c>
      <c r="I80" s="14" t="s">
        <v>372</v>
      </c>
      <c r="J80" s="14" t="s">
        <v>569</v>
      </c>
      <c r="K80" s="14" t="s">
        <v>570</v>
      </c>
      <c r="L80" s="14" t="s">
        <v>571</v>
      </c>
      <c r="M80" s="14" t="s">
        <v>572</v>
      </c>
      <c r="N80" s="14" t="s">
        <v>377</v>
      </c>
      <c r="O80" s="14" t="s">
        <v>546</v>
      </c>
    </row>
    <row r="81" spans="1:15" ht="75" customHeight="1" x14ac:dyDescent="0.25">
      <c r="A81" s="20">
        <v>77</v>
      </c>
      <c r="B81" s="14" t="s">
        <v>573</v>
      </c>
      <c r="C81" s="14" t="s">
        <v>110</v>
      </c>
      <c r="D81" s="20" t="s">
        <v>85</v>
      </c>
      <c r="E81" s="14" t="s">
        <v>27</v>
      </c>
      <c r="F81" s="14" t="s">
        <v>574</v>
      </c>
      <c r="G81" s="21" t="s">
        <v>10</v>
      </c>
      <c r="H81" s="15">
        <v>0.55000000000000004</v>
      </c>
      <c r="I81" s="14" t="s">
        <v>372</v>
      </c>
      <c r="J81" s="14" t="s">
        <v>575</v>
      </c>
      <c r="K81" s="14" t="s">
        <v>371</v>
      </c>
      <c r="L81" s="14" t="s">
        <v>576</v>
      </c>
      <c r="M81" s="14" t="s">
        <v>577</v>
      </c>
      <c r="N81" s="14" t="s">
        <v>377</v>
      </c>
      <c r="O81" s="14" t="s">
        <v>578</v>
      </c>
    </row>
    <row r="82" spans="1:15" ht="75" customHeight="1" x14ac:dyDescent="0.25">
      <c r="A82" s="20">
        <v>78</v>
      </c>
      <c r="B82" s="14" t="s">
        <v>579</v>
      </c>
      <c r="C82" s="14" t="s">
        <v>127</v>
      </c>
      <c r="D82" s="20" t="s">
        <v>85</v>
      </c>
      <c r="E82" s="14" t="s">
        <v>14</v>
      </c>
      <c r="F82" s="14" t="s">
        <v>580</v>
      </c>
      <c r="G82" s="21" t="s">
        <v>10</v>
      </c>
      <c r="H82" s="15">
        <v>0.55000000000000004</v>
      </c>
      <c r="I82" s="14" t="s">
        <v>372</v>
      </c>
      <c r="J82" s="14" t="s">
        <v>581</v>
      </c>
      <c r="K82" s="14" t="s">
        <v>485</v>
      </c>
      <c r="L82" s="14" t="s">
        <v>582</v>
      </c>
      <c r="M82" s="14" t="s">
        <v>583</v>
      </c>
      <c r="N82" s="14" t="s">
        <v>377</v>
      </c>
      <c r="O82" s="14" t="s">
        <v>584</v>
      </c>
    </row>
    <row r="83" spans="1:15" ht="75" customHeight="1" x14ac:dyDescent="0.25">
      <c r="A83" s="20">
        <v>79</v>
      </c>
      <c r="B83" s="14" t="s">
        <v>585</v>
      </c>
      <c r="C83" s="14" t="s">
        <v>110</v>
      </c>
      <c r="D83" s="20" t="s">
        <v>85</v>
      </c>
      <c r="E83" s="14" t="s">
        <v>39</v>
      </c>
      <c r="F83" s="14" t="s">
        <v>371</v>
      </c>
      <c r="G83" s="21" t="s">
        <v>10</v>
      </c>
      <c r="H83" s="15">
        <v>0.55000000000000004</v>
      </c>
      <c r="I83" s="14" t="s">
        <v>372</v>
      </c>
      <c r="J83" s="14" t="s">
        <v>586</v>
      </c>
      <c r="K83" s="14" t="s">
        <v>587</v>
      </c>
      <c r="L83" s="14" t="s">
        <v>588</v>
      </c>
      <c r="M83" s="14" t="s">
        <v>589</v>
      </c>
      <c r="N83" s="14" t="s">
        <v>377</v>
      </c>
      <c r="O83" s="14" t="s">
        <v>590</v>
      </c>
    </row>
    <row r="84" spans="1:15" ht="75" customHeight="1" x14ac:dyDescent="0.25">
      <c r="A84" s="20">
        <v>80</v>
      </c>
      <c r="B84" s="14" t="s">
        <v>591</v>
      </c>
      <c r="C84" s="14" t="s">
        <v>110</v>
      </c>
      <c r="D84" s="20" t="s">
        <v>85</v>
      </c>
      <c r="E84" s="14" t="s">
        <v>27</v>
      </c>
      <c r="F84" s="14" t="s">
        <v>592</v>
      </c>
      <c r="G84" s="21" t="s">
        <v>10</v>
      </c>
      <c r="H84" s="15">
        <v>0.55000000000000004</v>
      </c>
      <c r="I84" s="14" t="s">
        <v>372</v>
      </c>
      <c r="J84" s="14" t="s">
        <v>593</v>
      </c>
      <c r="K84" s="14" t="s">
        <v>371</v>
      </c>
      <c r="L84" s="14" t="s">
        <v>465</v>
      </c>
      <c r="M84" s="14" t="s">
        <v>594</v>
      </c>
      <c r="N84" s="14" t="s">
        <v>377</v>
      </c>
      <c r="O84" s="14" t="s">
        <v>467</v>
      </c>
    </row>
    <row r="85" spans="1:15" ht="75" customHeight="1" x14ac:dyDescent="0.25">
      <c r="A85" s="20">
        <v>81</v>
      </c>
      <c r="B85" s="14" t="s">
        <v>595</v>
      </c>
      <c r="C85" s="14" t="s">
        <v>110</v>
      </c>
      <c r="D85" s="20" t="s">
        <v>104</v>
      </c>
      <c r="E85" s="14" t="s">
        <v>32</v>
      </c>
      <c r="F85" s="14" t="s">
        <v>596</v>
      </c>
      <c r="G85" s="21" t="s">
        <v>10</v>
      </c>
      <c r="H85" s="15">
        <v>0.55000000000000004</v>
      </c>
      <c r="I85" s="14" t="s">
        <v>372</v>
      </c>
      <c r="J85" s="14" t="s">
        <v>597</v>
      </c>
      <c r="K85" s="14" t="s">
        <v>598</v>
      </c>
      <c r="L85" s="14" t="s">
        <v>599</v>
      </c>
      <c r="M85" s="14" t="s">
        <v>600</v>
      </c>
      <c r="N85" s="14" t="s">
        <v>377</v>
      </c>
      <c r="O85" s="14" t="s">
        <v>601</v>
      </c>
    </row>
    <row r="86" spans="1:15" ht="75" customHeight="1" x14ac:dyDescent="0.25">
      <c r="A86" s="20">
        <v>82</v>
      </c>
      <c r="B86" s="14" t="s">
        <v>602</v>
      </c>
      <c r="C86" s="14" t="s">
        <v>110</v>
      </c>
      <c r="D86" s="20" t="s">
        <v>98</v>
      </c>
      <c r="E86" s="14" t="s">
        <v>16</v>
      </c>
      <c r="F86" s="14" t="s">
        <v>603</v>
      </c>
      <c r="G86" s="21" t="s">
        <v>10</v>
      </c>
      <c r="H86" s="15">
        <v>0.55000000000000004</v>
      </c>
      <c r="I86" s="14" t="s">
        <v>372</v>
      </c>
      <c r="J86" s="14" t="s">
        <v>604</v>
      </c>
      <c r="K86" s="14" t="s">
        <v>605</v>
      </c>
      <c r="L86" s="14" t="s">
        <v>606</v>
      </c>
      <c r="M86" s="14" t="s">
        <v>607</v>
      </c>
      <c r="N86" s="14" t="s">
        <v>377</v>
      </c>
      <c r="O86" s="14" t="s">
        <v>608</v>
      </c>
    </row>
    <row r="87" spans="1:15" ht="75" customHeight="1" x14ac:dyDescent="0.25">
      <c r="A87" s="20">
        <v>83</v>
      </c>
      <c r="B87" s="14" t="s">
        <v>609</v>
      </c>
      <c r="C87" s="14" t="s">
        <v>110</v>
      </c>
      <c r="D87" s="20" t="s">
        <v>104</v>
      </c>
      <c r="E87" s="14" t="s">
        <v>32</v>
      </c>
      <c r="F87" s="14" t="s">
        <v>510</v>
      </c>
      <c r="G87" s="21" t="s">
        <v>10</v>
      </c>
      <c r="H87" s="15">
        <v>0.55000000000000004</v>
      </c>
      <c r="I87" s="14" t="s">
        <v>372</v>
      </c>
      <c r="J87" s="14" t="s">
        <v>610</v>
      </c>
      <c r="K87" s="14" t="s">
        <v>611</v>
      </c>
      <c r="L87" s="14" t="s">
        <v>612</v>
      </c>
      <c r="M87" s="14" t="s">
        <v>613</v>
      </c>
      <c r="N87" s="14" t="s">
        <v>377</v>
      </c>
      <c r="O87" s="14" t="s">
        <v>614</v>
      </c>
    </row>
    <row r="88" spans="1:15" ht="75" customHeight="1" x14ac:dyDescent="0.25">
      <c r="A88" s="20">
        <v>84</v>
      </c>
      <c r="B88" s="14" t="s">
        <v>615</v>
      </c>
      <c r="C88" s="14" t="s">
        <v>116</v>
      </c>
      <c r="D88" s="20" t="s">
        <v>85</v>
      </c>
      <c r="E88" s="14" t="s">
        <v>15</v>
      </c>
      <c r="F88" s="14" t="s">
        <v>259</v>
      </c>
      <c r="G88" s="21" t="s">
        <v>10</v>
      </c>
      <c r="H88" s="15">
        <v>0.55000000000000004</v>
      </c>
      <c r="I88" s="14" t="s">
        <v>372</v>
      </c>
      <c r="J88" s="14" t="s">
        <v>616</v>
      </c>
      <c r="K88" s="14" t="s">
        <v>617</v>
      </c>
      <c r="L88" s="14" t="s">
        <v>618</v>
      </c>
      <c r="M88" s="14" t="s">
        <v>619</v>
      </c>
      <c r="N88" s="14" t="s">
        <v>377</v>
      </c>
      <c r="O88" s="14" t="s">
        <v>620</v>
      </c>
    </row>
    <row r="89" spans="1:15" ht="75" customHeight="1" x14ac:dyDescent="0.25">
      <c r="A89" s="20">
        <v>85</v>
      </c>
      <c r="B89" s="14" t="s">
        <v>621</v>
      </c>
      <c r="C89" s="14" t="s">
        <v>127</v>
      </c>
      <c r="D89" s="20" t="s">
        <v>85</v>
      </c>
      <c r="E89" s="14" t="s">
        <v>14</v>
      </c>
      <c r="F89" s="14" t="s">
        <v>622</v>
      </c>
      <c r="G89" s="21" t="s">
        <v>10</v>
      </c>
      <c r="H89" s="15">
        <v>0.55000000000000004</v>
      </c>
      <c r="I89" s="14" t="s">
        <v>372</v>
      </c>
      <c r="J89" s="14" t="s">
        <v>623</v>
      </c>
      <c r="K89" s="14" t="s">
        <v>624</v>
      </c>
      <c r="L89" s="14" t="s">
        <v>625</v>
      </c>
      <c r="M89" s="14" t="s">
        <v>626</v>
      </c>
      <c r="N89" s="14" t="s">
        <v>377</v>
      </c>
      <c r="O89" s="14" t="s">
        <v>627</v>
      </c>
    </row>
    <row r="90" spans="1:15" ht="75" customHeight="1" x14ac:dyDescent="0.25">
      <c r="A90" s="20">
        <v>86</v>
      </c>
      <c r="B90" s="14" t="s">
        <v>628</v>
      </c>
      <c r="C90" s="14" t="s">
        <v>127</v>
      </c>
      <c r="D90" s="20" t="s">
        <v>85</v>
      </c>
      <c r="E90" s="14" t="s">
        <v>14</v>
      </c>
      <c r="F90" s="14" t="s">
        <v>629</v>
      </c>
      <c r="G90" s="21" t="s">
        <v>10</v>
      </c>
      <c r="H90" s="15">
        <v>0.55000000000000004</v>
      </c>
      <c r="I90" s="14" t="s">
        <v>372</v>
      </c>
      <c r="J90" s="14" t="s">
        <v>630</v>
      </c>
      <c r="K90" s="14" t="s">
        <v>631</v>
      </c>
      <c r="L90" s="14" t="s">
        <v>632</v>
      </c>
      <c r="M90" s="14" t="s">
        <v>633</v>
      </c>
      <c r="N90" s="14" t="s">
        <v>377</v>
      </c>
      <c r="O90" s="14" t="s">
        <v>634</v>
      </c>
    </row>
    <row r="91" spans="1:15" ht="75" customHeight="1" x14ac:dyDescent="0.25">
      <c r="A91" s="20">
        <v>87</v>
      </c>
      <c r="B91" s="14" t="s">
        <v>635</v>
      </c>
      <c r="C91" s="14" t="s">
        <v>116</v>
      </c>
      <c r="D91" s="20" t="s">
        <v>85</v>
      </c>
      <c r="E91" s="14" t="s">
        <v>15</v>
      </c>
      <c r="F91" s="14" t="s">
        <v>636</v>
      </c>
      <c r="G91" s="21" t="s">
        <v>10</v>
      </c>
      <c r="H91" s="15">
        <v>0.5</v>
      </c>
      <c r="I91" s="14" t="s">
        <v>372</v>
      </c>
      <c r="J91" s="14" t="s">
        <v>637</v>
      </c>
      <c r="K91" s="14" t="s">
        <v>638</v>
      </c>
      <c r="L91" s="14" t="s">
        <v>639</v>
      </c>
      <c r="M91" s="14" t="s">
        <v>640</v>
      </c>
      <c r="N91" s="14" t="s">
        <v>377</v>
      </c>
      <c r="O91" s="14" t="s">
        <v>641</v>
      </c>
    </row>
    <row r="92" spans="1:15" ht="75" customHeight="1" x14ac:dyDescent="0.25">
      <c r="A92" s="20">
        <v>88</v>
      </c>
      <c r="B92" s="14" t="s">
        <v>642</v>
      </c>
      <c r="C92" s="14" t="s">
        <v>110</v>
      </c>
      <c r="D92" s="20" t="s">
        <v>98</v>
      </c>
      <c r="E92" s="14" t="s">
        <v>16</v>
      </c>
      <c r="F92" s="14" t="s">
        <v>643</v>
      </c>
      <c r="G92" s="21" t="s">
        <v>10</v>
      </c>
      <c r="H92" s="15">
        <v>0.5</v>
      </c>
      <c r="I92" s="14" t="s">
        <v>372</v>
      </c>
      <c r="J92" s="14" t="s">
        <v>644</v>
      </c>
      <c r="K92" s="14" t="s">
        <v>645</v>
      </c>
      <c r="L92" s="14" t="s">
        <v>646</v>
      </c>
      <c r="M92" s="14" t="s">
        <v>647</v>
      </c>
      <c r="N92" s="14" t="s">
        <v>377</v>
      </c>
      <c r="O92" s="14" t="s">
        <v>648</v>
      </c>
    </row>
    <row r="93" spans="1:15" ht="75" customHeight="1" x14ac:dyDescent="0.25">
      <c r="A93" s="20">
        <v>89</v>
      </c>
      <c r="B93" s="14" t="s">
        <v>649</v>
      </c>
      <c r="C93" s="14" t="s">
        <v>127</v>
      </c>
      <c r="D93" s="20" t="s">
        <v>85</v>
      </c>
      <c r="E93" s="14" t="s">
        <v>27</v>
      </c>
      <c r="F93" s="14" t="s">
        <v>650</v>
      </c>
      <c r="G93" s="21" t="s">
        <v>10</v>
      </c>
      <c r="H93" s="15">
        <v>0.5</v>
      </c>
      <c r="I93" s="14" t="s">
        <v>372</v>
      </c>
      <c r="J93" s="14" t="s">
        <v>651</v>
      </c>
      <c r="K93" s="14" t="s">
        <v>485</v>
      </c>
      <c r="L93" s="14" t="s">
        <v>652</v>
      </c>
      <c r="M93" s="14" t="s">
        <v>653</v>
      </c>
      <c r="N93" s="14" t="s">
        <v>377</v>
      </c>
      <c r="O93" s="14" t="s">
        <v>654</v>
      </c>
    </row>
    <row r="94" spans="1:15" ht="75" customHeight="1" x14ac:dyDescent="0.25">
      <c r="A94" s="20">
        <v>90</v>
      </c>
      <c r="B94" s="14" t="s">
        <v>655</v>
      </c>
      <c r="C94" s="14" t="s">
        <v>127</v>
      </c>
      <c r="D94" s="20" t="s">
        <v>85</v>
      </c>
      <c r="E94" s="14" t="s">
        <v>15</v>
      </c>
      <c r="F94" s="14" t="s">
        <v>656</v>
      </c>
      <c r="G94" s="21" t="s">
        <v>10</v>
      </c>
      <c r="H94" s="15">
        <v>0.5</v>
      </c>
      <c r="I94" s="14" t="s">
        <v>372</v>
      </c>
      <c r="J94" s="14" t="s">
        <v>657</v>
      </c>
      <c r="K94" s="14" t="s">
        <v>485</v>
      </c>
      <c r="L94" s="14" t="s">
        <v>658</v>
      </c>
      <c r="M94" s="14" t="s">
        <v>659</v>
      </c>
      <c r="N94" s="14" t="s">
        <v>377</v>
      </c>
      <c r="O94" s="14" t="s">
        <v>660</v>
      </c>
    </row>
    <row r="95" spans="1:15" ht="75" customHeight="1" x14ac:dyDescent="0.25">
      <c r="A95" s="20">
        <v>91</v>
      </c>
      <c r="B95" s="14" t="s">
        <v>661</v>
      </c>
      <c r="C95" s="14" t="s">
        <v>110</v>
      </c>
      <c r="D95" s="20" t="s">
        <v>85</v>
      </c>
      <c r="E95" s="14" t="s">
        <v>27</v>
      </c>
      <c r="F95" s="14" t="s">
        <v>662</v>
      </c>
      <c r="G95" s="21" t="s">
        <v>10</v>
      </c>
      <c r="H95" s="15">
        <v>0.5</v>
      </c>
      <c r="I95" s="14" t="s">
        <v>372</v>
      </c>
      <c r="J95" s="14" t="s">
        <v>663</v>
      </c>
      <c r="K95" s="14" t="s">
        <v>371</v>
      </c>
      <c r="L95" s="14" t="s">
        <v>465</v>
      </c>
      <c r="M95" s="14" t="s">
        <v>664</v>
      </c>
      <c r="N95" s="14" t="s">
        <v>377</v>
      </c>
      <c r="O95" s="14" t="s">
        <v>467</v>
      </c>
    </row>
    <row r="96" spans="1:15" ht="75" customHeight="1" x14ac:dyDescent="0.25">
      <c r="A96" s="20">
        <v>92</v>
      </c>
      <c r="B96" s="14" t="s">
        <v>665</v>
      </c>
      <c r="C96" s="14" t="s">
        <v>110</v>
      </c>
      <c r="D96" s="20" t="s">
        <v>98</v>
      </c>
      <c r="E96" s="14" t="s">
        <v>16</v>
      </c>
      <c r="F96" s="14" t="s">
        <v>666</v>
      </c>
      <c r="G96" s="21" t="s">
        <v>10</v>
      </c>
      <c r="H96" s="15">
        <v>0.5</v>
      </c>
      <c r="I96" s="14" t="s">
        <v>372</v>
      </c>
      <c r="J96" s="14" t="s">
        <v>667</v>
      </c>
      <c r="K96" s="14" t="s">
        <v>668</v>
      </c>
      <c r="L96" s="14" t="s">
        <v>669</v>
      </c>
      <c r="M96" s="14" t="s">
        <v>670</v>
      </c>
      <c r="N96" s="14" t="s">
        <v>377</v>
      </c>
      <c r="O96" s="14" t="s">
        <v>671</v>
      </c>
    </row>
    <row r="97" spans="1:15" ht="75" customHeight="1" x14ac:dyDescent="0.25">
      <c r="A97" s="20">
        <v>93</v>
      </c>
      <c r="B97" s="14" t="s">
        <v>672</v>
      </c>
      <c r="C97" s="14" t="s">
        <v>127</v>
      </c>
      <c r="D97" s="20" t="s">
        <v>85</v>
      </c>
      <c r="E97" s="14" t="s">
        <v>27</v>
      </c>
      <c r="F97" s="14" t="s">
        <v>673</v>
      </c>
      <c r="G97" s="21" t="s">
        <v>10</v>
      </c>
      <c r="H97" s="15">
        <v>0.5</v>
      </c>
      <c r="I97" s="14" t="s">
        <v>372</v>
      </c>
      <c r="J97" s="14" t="s">
        <v>674</v>
      </c>
      <c r="K97" s="14" t="s">
        <v>675</v>
      </c>
      <c r="L97" s="14" t="s">
        <v>676</v>
      </c>
      <c r="M97" s="14" t="s">
        <v>677</v>
      </c>
      <c r="N97" s="14" t="s">
        <v>377</v>
      </c>
      <c r="O97" s="14" t="s">
        <v>678</v>
      </c>
    </row>
    <row r="98" spans="1:15" ht="75" customHeight="1" x14ac:dyDescent="0.25">
      <c r="A98" s="20">
        <v>94</v>
      </c>
      <c r="B98" s="14" t="s">
        <v>679</v>
      </c>
      <c r="C98" s="14" t="s">
        <v>116</v>
      </c>
      <c r="D98" s="20" t="s">
        <v>85</v>
      </c>
      <c r="E98" s="14" t="s">
        <v>27</v>
      </c>
      <c r="F98" s="14" t="s">
        <v>680</v>
      </c>
      <c r="G98" s="21" t="s">
        <v>10</v>
      </c>
      <c r="H98" s="15">
        <v>0.5</v>
      </c>
      <c r="I98" s="14" t="s">
        <v>372</v>
      </c>
      <c r="J98" s="14" t="s">
        <v>681</v>
      </c>
      <c r="K98" s="14" t="s">
        <v>682</v>
      </c>
      <c r="L98" s="14" t="s">
        <v>683</v>
      </c>
      <c r="M98" s="14" t="s">
        <v>684</v>
      </c>
      <c r="N98" s="14" t="s">
        <v>377</v>
      </c>
      <c r="O98" s="14" t="s">
        <v>685</v>
      </c>
    </row>
    <row r="99" spans="1:15" ht="75" customHeight="1" x14ac:dyDescent="0.25">
      <c r="A99" s="20">
        <v>95</v>
      </c>
      <c r="B99" s="14" t="s">
        <v>686</v>
      </c>
      <c r="C99" s="14" t="s">
        <v>116</v>
      </c>
      <c r="D99" s="20" t="s">
        <v>85</v>
      </c>
      <c r="E99" s="14" t="s">
        <v>687</v>
      </c>
      <c r="F99" s="14" t="s">
        <v>688</v>
      </c>
      <c r="G99" s="21" t="s">
        <v>10</v>
      </c>
      <c r="H99" s="15">
        <v>0.5</v>
      </c>
      <c r="I99" s="14" t="s">
        <v>372</v>
      </c>
      <c r="J99" s="14" t="s">
        <v>689</v>
      </c>
      <c r="K99" s="14" t="s">
        <v>690</v>
      </c>
      <c r="L99" s="14" t="s">
        <v>691</v>
      </c>
      <c r="M99" s="14" t="s">
        <v>91</v>
      </c>
      <c r="N99" s="14" t="s">
        <v>377</v>
      </c>
      <c r="O99" s="14" t="s">
        <v>692</v>
      </c>
    </row>
    <row r="100" spans="1:15" ht="75" customHeight="1" x14ac:dyDescent="0.25">
      <c r="A100" s="20">
        <v>96</v>
      </c>
      <c r="B100" s="14" t="s">
        <v>693</v>
      </c>
      <c r="C100" s="14" t="s">
        <v>127</v>
      </c>
      <c r="D100" s="20" t="s">
        <v>85</v>
      </c>
      <c r="E100" s="14" t="s">
        <v>14</v>
      </c>
      <c r="F100" s="14" t="s">
        <v>694</v>
      </c>
      <c r="G100" s="21" t="s">
        <v>10</v>
      </c>
      <c r="H100" s="15">
        <v>0.5</v>
      </c>
      <c r="I100" s="14" t="s">
        <v>372</v>
      </c>
      <c r="J100" s="14" t="s">
        <v>695</v>
      </c>
      <c r="K100" s="14" t="s">
        <v>485</v>
      </c>
      <c r="L100" s="14" t="s">
        <v>582</v>
      </c>
      <c r="M100" s="14" t="s">
        <v>696</v>
      </c>
      <c r="N100" s="14" t="s">
        <v>377</v>
      </c>
      <c r="O100" s="14" t="s">
        <v>697</v>
      </c>
    </row>
    <row r="101" spans="1:15" ht="75" customHeight="1" x14ac:dyDescent="0.25">
      <c r="A101" s="20">
        <v>97</v>
      </c>
      <c r="B101" s="14" t="s">
        <v>698</v>
      </c>
      <c r="C101" s="14" t="s">
        <v>127</v>
      </c>
      <c r="D101" s="20" t="s">
        <v>85</v>
      </c>
      <c r="E101" s="14" t="s">
        <v>14</v>
      </c>
      <c r="F101" s="14" t="s">
        <v>357</v>
      </c>
      <c r="G101" s="21" t="s">
        <v>10</v>
      </c>
      <c r="H101" s="15">
        <v>0.5</v>
      </c>
      <c r="I101" s="14" t="s">
        <v>372</v>
      </c>
      <c r="J101" s="14" t="s">
        <v>699</v>
      </c>
      <c r="K101" s="14" t="s">
        <v>485</v>
      </c>
      <c r="L101" s="14" t="s">
        <v>700</v>
      </c>
      <c r="M101" s="14" t="s">
        <v>701</v>
      </c>
      <c r="N101" s="14" t="s">
        <v>377</v>
      </c>
      <c r="O101" s="14" t="s">
        <v>702</v>
      </c>
    </row>
    <row r="102" spans="1:15" ht="75" customHeight="1" x14ac:dyDescent="0.25">
      <c r="A102" s="20">
        <v>98</v>
      </c>
      <c r="B102" s="14" t="s">
        <v>703</v>
      </c>
      <c r="C102" s="14" t="s">
        <v>127</v>
      </c>
      <c r="D102" s="20" t="s">
        <v>85</v>
      </c>
      <c r="E102" s="14" t="s">
        <v>15</v>
      </c>
      <c r="F102" s="14" t="s">
        <v>483</v>
      </c>
      <c r="G102" s="21" t="s">
        <v>10</v>
      </c>
      <c r="H102" s="15">
        <v>0.5</v>
      </c>
      <c r="I102" s="14" t="s">
        <v>372</v>
      </c>
      <c r="J102" s="14" t="s">
        <v>704</v>
      </c>
      <c r="K102" s="14" t="s">
        <v>705</v>
      </c>
      <c r="L102" s="14" t="s">
        <v>706</v>
      </c>
      <c r="M102" s="14" t="s">
        <v>707</v>
      </c>
      <c r="N102" s="14" t="s">
        <v>377</v>
      </c>
      <c r="O102" s="14" t="s">
        <v>708</v>
      </c>
    </row>
    <row r="103" spans="1:15" ht="75" customHeight="1" x14ac:dyDescent="0.25">
      <c r="A103" s="20">
        <v>99</v>
      </c>
      <c r="B103" s="14" t="s">
        <v>709</v>
      </c>
      <c r="C103" s="14" t="s">
        <v>84</v>
      </c>
      <c r="D103" s="20" t="s">
        <v>98</v>
      </c>
      <c r="E103" s="14" t="s">
        <v>16</v>
      </c>
      <c r="F103" s="14" t="s">
        <v>710</v>
      </c>
      <c r="G103" s="21" t="s">
        <v>10</v>
      </c>
      <c r="H103" s="15">
        <v>0.5</v>
      </c>
      <c r="I103" s="14" t="s">
        <v>425</v>
      </c>
      <c r="J103" s="14" t="s">
        <v>711</v>
      </c>
      <c r="K103" s="14" t="s">
        <v>712</v>
      </c>
      <c r="L103" s="14" t="s">
        <v>713</v>
      </c>
      <c r="M103" s="14" t="s">
        <v>91</v>
      </c>
      <c r="N103" s="14" t="s">
        <v>377</v>
      </c>
      <c r="O103" s="14" t="s">
        <v>714</v>
      </c>
    </row>
    <row r="104" spans="1:15" ht="75" customHeight="1" x14ac:dyDescent="0.25">
      <c r="A104" s="20">
        <v>100</v>
      </c>
      <c r="B104" s="14" t="s">
        <v>715</v>
      </c>
      <c r="C104" s="14" t="s">
        <v>110</v>
      </c>
      <c r="D104" s="20" t="s">
        <v>85</v>
      </c>
      <c r="E104" s="14" t="s">
        <v>14</v>
      </c>
      <c r="F104" s="14" t="s">
        <v>716</v>
      </c>
      <c r="G104" s="21" t="s">
        <v>10</v>
      </c>
      <c r="H104" s="15">
        <v>0.5</v>
      </c>
      <c r="I104" s="14" t="s">
        <v>372</v>
      </c>
      <c r="J104" s="14" t="s">
        <v>717</v>
      </c>
      <c r="K104" s="14" t="s">
        <v>371</v>
      </c>
      <c r="L104" s="14" t="s">
        <v>465</v>
      </c>
      <c r="M104" s="14" t="s">
        <v>718</v>
      </c>
      <c r="N104" s="14" t="s">
        <v>377</v>
      </c>
      <c r="O104" s="14" t="s">
        <v>467</v>
      </c>
    </row>
    <row r="105" spans="1:15" ht="75" customHeight="1" x14ac:dyDescent="0.25">
      <c r="A105" s="20">
        <v>101</v>
      </c>
      <c r="B105" s="14" t="s">
        <v>719</v>
      </c>
      <c r="C105" s="14" t="s">
        <v>110</v>
      </c>
      <c r="D105" s="20" t="s">
        <v>85</v>
      </c>
      <c r="E105" s="14" t="s">
        <v>39</v>
      </c>
      <c r="F105" s="14" t="s">
        <v>371</v>
      </c>
      <c r="G105" s="21" t="s">
        <v>10</v>
      </c>
      <c r="H105" s="15">
        <v>0.5</v>
      </c>
      <c r="I105" s="14" t="s">
        <v>372</v>
      </c>
      <c r="J105" s="14" t="s">
        <v>720</v>
      </c>
      <c r="K105" s="14" t="s">
        <v>371</v>
      </c>
      <c r="L105" s="14" t="s">
        <v>721</v>
      </c>
      <c r="M105" s="14" t="s">
        <v>722</v>
      </c>
      <c r="N105" s="14" t="s">
        <v>377</v>
      </c>
      <c r="O105" s="14" t="s">
        <v>578</v>
      </c>
    </row>
    <row r="106" spans="1:15" ht="75" customHeight="1" x14ac:dyDescent="0.25">
      <c r="A106" s="20">
        <v>102</v>
      </c>
      <c r="B106" s="14" t="s">
        <v>723</v>
      </c>
      <c r="C106" s="14" t="s">
        <v>127</v>
      </c>
      <c r="D106" s="20" t="s">
        <v>85</v>
      </c>
      <c r="E106" s="14" t="s">
        <v>14</v>
      </c>
      <c r="F106" s="14" t="s">
        <v>724</v>
      </c>
      <c r="G106" s="21" t="s">
        <v>10</v>
      </c>
      <c r="H106" s="15">
        <v>0.5</v>
      </c>
      <c r="I106" s="14" t="s">
        <v>372</v>
      </c>
      <c r="J106" s="14" t="s">
        <v>725</v>
      </c>
      <c r="K106" s="14" t="s">
        <v>485</v>
      </c>
      <c r="L106" s="14" t="s">
        <v>726</v>
      </c>
      <c r="M106" s="14" t="s">
        <v>727</v>
      </c>
      <c r="N106" s="14" t="s">
        <v>377</v>
      </c>
      <c r="O106" s="14" t="s">
        <v>728</v>
      </c>
    </row>
    <row r="107" spans="1:15" ht="75" customHeight="1" x14ac:dyDescent="0.25">
      <c r="A107" s="20">
        <v>103</v>
      </c>
      <c r="B107" s="14" t="s">
        <v>729</v>
      </c>
      <c r="C107" s="14" t="s">
        <v>110</v>
      </c>
      <c r="D107" s="20" t="s">
        <v>85</v>
      </c>
      <c r="E107" s="14" t="s">
        <v>39</v>
      </c>
      <c r="F107" s="14" t="s">
        <v>371</v>
      </c>
      <c r="G107" s="21" t="s">
        <v>10</v>
      </c>
      <c r="H107" s="15">
        <v>0.5</v>
      </c>
      <c r="I107" s="14" t="s">
        <v>372</v>
      </c>
      <c r="J107" s="14" t="s">
        <v>730</v>
      </c>
      <c r="K107" s="14" t="s">
        <v>371</v>
      </c>
      <c r="L107" s="14" t="s">
        <v>731</v>
      </c>
      <c r="M107" s="14" t="s">
        <v>732</v>
      </c>
      <c r="N107" s="14" t="s">
        <v>377</v>
      </c>
      <c r="O107" s="14" t="s">
        <v>578</v>
      </c>
    </row>
    <row r="108" spans="1:15" ht="75" customHeight="1" x14ac:dyDescent="0.25">
      <c r="A108" s="20">
        <v>104</v>
      </c>
      <c r="B108" s="14" t="s">
        <v>733</v>
      </c>
      <c r="C108" s="14" t="s">
        <v>116</v>
      </c>
      <c r="D108" s="20" t="s">
        <v>85</v>
      </c>
      <c r="E108" s="14" t="s">
        <v>27</v>
      </c>
      <c r="F108" s="14" t="s">
        <v>734</v>
      </c>
      <c r="G108" s="21" t="s">
        <v>10</v>
      </c>
      <c r="H108" s="15">
        <v>0.45</v>
      </c>
      <c r="I108" s="14" t="s">
        <v>372</v>
      </c>
      <c r="J108" s="14" t="s">
        <v>735</v>
      </c>
      <c r="K108" s="14" t="s">
        <v>736</v>
      </c>
      <c r="L108" s="14" t="s">
        <v>737</v>
      </c>
      <c r="M108" s="14" t="s">
        <v>738</v>
      </c>
      <c r="N108" s="14" t="s">
        <v>377</v>
      </c>
      <c r="O108" s="14" t="s">
        <v>739</v>
      </c>
    </row>
    <row r="109" spans="1:15" ht="75" customHeight="1" x14ac:dyDescent="0.25">
      <c r="A109" s="20">
        <v>105</v>
      </c>
      <c r="B109" s="14" t="s">
        <v>740</v>
      </c>
      <c r="C109" s="14" t="s">
        <v>127</v>
      </c>
      <c r="D109" s="20" t="s">
        <v>85</v>
      </c>
      <c r="E109" s="14" t="s">
        <v>27</v>
      </c>
      <c r="F109" s="14" t="s">
        <v>741</v>
      </c>
      <c r="G109" s="21" t="s">
        <v>10</v>
      </c>
      <c r="H109" s="15">
        <v>0.45</v>
      </c>
      <c r="I109" s="14" t="s">
        <v>372</v>
      </c>
      <c r="J109" s="14" t="s">
        <v>742</v>
      </c>
      <c r="K109" s="14" t="s">
        <v>485</v>
      </c>
      <c r="L109" s="14" t="s">
        <v>550</v>
      </c>
      <c r="M109" s="14" t="s">
        <v>743</v>
      </c>
      <c r="N109" s="14" t="s">
        <v>377</v>
      </c>
      <c r="O109" s="14" t="s">
        <v>744</v>
      </c>
    </row>
    <row r="110" spans="1:15" ht="75" customHeight="1" x14ac:dyDescent="0.25">
      <c r="A110" s="20">
        <v>106</v>
      </c>
      <c r="B110" s="14" t="s">
        <v>745</v>
      </c>
      <c r="C110" s="14" t="s">
        <v>110</v>
      </c>
      <c r="D110" s="20" t="s">
        <v>85</v>
      </c>
      <c r="E110" s="14" t="s">
        <v>14</v>
      </c>
      <c r="F110" s="14" t="s">
        <v>746</v>
      </c>
      <c r="G110" s="21" t="s">
        <v>10</v>
      </c>
      <c r="H110" s="15">
        <v>0.45</v>
      </c>
      <c r="I110" s="14" t="s">
        <v>372</v>
      </c>
      <c r="J110" s="14" t="s">
        <v>747</v>
      </c>
      <c r="K110" s="14" t="s">
        <v>371</v>
      </c>
      <c r="L110" s="14" t="s">
        <v>465</v>
      </c>
      <c r="M110" s="14" t="s">
        <v>748</v>
      </c>
      <c r="N110" s="14" t="s">
        <v>377</v>
      </c>
      <c r="O110" s="14" t="s">
        <v>467</v>
      </c>
    </row>
    <row r="111" spans="1:15" ht="75" customHeight="1" x14ac:dyDescent="0.25">
      <c r="A111" s="20">
        <v>107</v>
      </c>
      <c r="B111" s="14" t="s">
        <v>749</v>
      </c>
      <c r="C111" s="14" t="s">
        <v>110</v>
      </c>
      <c r="D111" s="20" t="s">
        <v>85</v>
      </c>
      <c r="E111" s="14" t="s">
        <v>15</v>
      </c>
      <c r="F111" s="14" t="s">
        <v>750</v>
      </c>
      <c r="G111" s="21" t="s">
        <v>10</v>
      </c>
      <c r="H111" s="15">
        <v>0.45</v>
      </c>
      <c r="I111" s="14" t="s">
        <v>372</v>
      </c>
      <c r="J111" s="14" t="s">
        <v>751</v>
      </c>
      <c r="K111" s="14" t="s">
        <v>371</v>
      </c>
      <c r="L111" s="14" t="s">
        <v>465</v>
      </c>
      <c r="M111" s="14" t="s">
        <v>752</v>
      </c>
      <c r="N111" s="14" t="s">
        <v>377</v>
      </c>
      <c r="O111" s="14" t="s">
        <v>467</v>
      </c>
    </row>
    <row r="112" spans="1:15" ht="75" customHeight="1" x14ac:dyDescent="0.25">
      <c r="A112" s="20">
        <v>108</v>
      </c>
      <c r="B112" s="14" t="s">
        <v>753</v>
      </c>
      <c r="C112" s="14" t="s">
        <v>110</v>
      </c>
      <c r="D112" s="20" t="s">
        <v>104</v>
      </c>
      <c r="E112" s="14" t="s">
        <v>32</v>
      </c>
      <c r="F112" s="14" t="s">
        <v>469</v>
      </c>
      <c r="G112" s="21" t="s">
        <v>10</v>
      </c>
      <c r="H112" s="15">
        <v>0.4</v>
      </c>
      <c r="I112" s="14" t="s">
        <v>372</v>
      </c>
      <c r="J112" s="14" t="s">
        <v>754</v>
      </c>
      <c r="K112" s="14" t="s">
        <v>755</v>
      </c>
      <c r="L112" s="14" t="s">
        <v>756</v>
      </c>
      <c r="M112" s="14" t="s">
        <v>757</v>
      </c>
      <c r="N112" s="14" t="s">
        <v>377</v>
      </c>
      <c r="O112" s="14" t="s">
        <v>758</v>
      </c>
    </row>
    <row r="113" spans="1:15" ht="75" customHeight="1" x14ac:dyDescent="0.25">
      <c r="A113" s="20">
        <v>109</v>
      </c>
      <c r="B113" s="14" t="s">
        <v>759</v>
      </c>
      <c r="C113" s="14" t="s">
        <v>110</v>
      </c>
      <c r="D113" s="20" t="s">
        <v>104</v>
      </c>
      <c r="E113" s="14" t="s">
        <v>32</v>
      </c>
      <c r="F113" s="14" t="s">
        <v>760</v>
      </c>
      <c r="G113" s="21" t="s">
        <v>10</v>
      </c>
      <c r="H113" s="15">
        <v>0.4</v>
      </c>
      <c r="I113" s="14" t="s">
        <v>372</v>
      </c>
      <c r="J113" s="14" t="s">
        <v>761</v>
      </c>
      <c r="K113" s="14" t="s">
        <v>762</v>
      </c>
      <c r="L113" s="14" t="s">
        <v>763</v>
      </c>
      <c r="M113" s="14" t="s">
        <v>764</v>
      </c>
      <c r="N113" s="14" t="s">
        <v>377</v>
      </c>
      <c r="O113" s="14" t="s">
        <v>765</v>
      </c>
    </row>
    <row r="114" spans="1:15" ht="75" customHeight="1" x14ac:dyDescent="0.25">
      <c r="A114" s="20">
        <v>110</v>
      </c>
      <c r="B114" s="14" t="s">
        <v>766</v>
      </c>
      <c r="C114" s="14" t="s">
        <v>110</v>
      </c>
      <c r="D114" s="20" t="s">
        <v>98</v>
      </c>
      <c r="E114" s="14" t="s">
        <v>16</v>
      </c>
      <c r="F114" s="14" t="s">
        <v>767</v>
      </c>
      <c r="G114" s="21" t="s">
        <v>10</v>
      </c>
      <c r="H114" s="15">
        <v>0.4</v>
      </c>
      <c r="I114" s="14" t="s">
        <v>372</v>
      </c>
      <c r="J114" s="14" t="s">
        <v>768</v>
      </c>
      <c r="K114" s="14" t="s">
        <v>769</v>
      </c>
      <c r="L114" s="14" t="s">
        <v>770</v>
      </c>
      <c r="M114" s="14" t="s">
        <v>771</v>
      </c>
      <c r="N114" s="14" t="s">
        <v>377</v>
      </c>
      <c r="O114" s="14" t="s">
        <v>772</v>
      </c>
    </row>
    <row r="115" spans="1:15" ht="75" customHeight="1" x14ac:dyDescent="0.25">
      <c r="A115" s="20">
        <v>111</v>
      </c>
      <c r="B115" s="14" t="s">
        <v>773</v>
      </c>
      <c r="C115" s="14" t="s">
        <v>84</v>
      </c>
      <c r="D115" s="20" t="s">
        <v>85</v>
      </c>
      <c r="E115" s="14" t="s">
        <v>14</v>
      </c>
      <c r="F115" s="14" t="s">
        <v>774</v>
      </c>
      <c r="G115" s="21" t="s">
        <v>10</v>
      </c>
      <c r="H115" s="15">
        <v>0.4</v>
      </c>
      <c r="I115" s="14" t="s">
        <v>425</v>
      </c>
      <c r="J115" s="14" t="s">
        <v>775</v>
      </c>
      <c r="K115" s="14" t="s">
        <v>776</v>
      </c>
      <c r="L115" s="14" t="s">
        <v>777</v>
      </c>
      <c r="M115" s="14" t="s">
        <v>778</v>
      </c>
      <c r="N115" s="14" t="s">
        <v>377</v>
      </c>
      <c r="O115" s="14" t="s">
        <v>779</v>
      </c>
    </row>
    <row r="116" spans="1:15" ht="75" customHeight="1" x14ac:dyDescent="0.25">
      <c r="A116" s="20">
        <v>112</v>
      </c>
      <c r="B116" s="14" t="s">
        <v>780</v>
      </c>
      <c r="C116" s="14" t="s">
        <v>127</v>
      </c>
      <c r="D116" s="20" t="s">
        <v>85</v>
      </c>
      <c r="E116" s="14" t="s">
        <v>14</v>
      </c>
      <c r="F116" s="14" t="s">
        <v>781</v>
      </c>
      <c r="G116" s="21" t="s">
        <v>10</v>
      </c>
      <c r="H116" s="15">
        <v>0.4</v>
      </c>
      <c r="I116" s="14" t="s">
        <v>372</v>
      </c>
      <c r="J116" s="14" t="s">
        <v>782</v>
      </c>
      <c r="K116" s="14" t="s">
        <v>485</v>
      </c>
      <c r="L116" s="14" t="s">
        <v>783</v>
      </c>
      <c r="M116" s="14" t="s">
        <v>784</v>
      </c>
      <c r="N116" s="14" t="s">
        <v>377</v>
      </c>
      <c r="O116" s="14" t="s">
        <v>785</v>
      </c>
    </row>
    <row r="117" spans="1:15" ht="75" customHeight="1" x14ac:dyDescent="0.25">
      <c r="A117" s="20">
        <v>113</v>
      </c>
      <c r="B117" s="14" t="s">
        <v>786</v>
      </c>
      <c r="C117" s="14" t="s">
        <v>127</v>
      </c>
      <c r="D117" s="20" t="s">
        <v>85</v>
      </c>
      <c r="E117" s="14" t="s">
        <v>14</v>
      </c>
      <c r="F117" s="14" t="s">
        <v>787</v>
      </c>
      <c r="G117" s="21" t="s">
        <v>10</v>
      </c>
      <c r="H117" s="15">
        <v>0.4</v>
      </c>
      <c r="I117" s="14" t="s">
        <v>372</v>
      </c>
      <c r="J117" s="14" t="s">
        <v>788</v>
      </c>
      <c r="K117" s="14" t="s">
        <v>485</v>
      </c>
      <c r="L117" s="14" t="s">
        <v>789</v>
      </c>
      <c r="M117" s="14" t="s">
        <v>790</v>
      </c>
      <c r="N117" s="14" t="s">
        <v>377</v>
      </c>
      <c r="O117" s="14" t="s">
        <v>791</v>
      </c>
    </row>
    <row r="118" spans="1:15" ht="75" customHeight="1" x14ac:dyDescent="0.25">
      <c r="A118" s="20">
        <v>114</v>
      </c>
      <c r="B118" s="14" t="s">
        <v>792</v>
      </c>
      <c r="C118" s="14" t="s">
        <v>127</v>
      </c>
      <c r="D118" s="20" t="s">
        <v>85</v>
      </c>
      <c r="E118" s="14" t="s">
        <v>14</v>
      </c>
      <c r="F118" s="14" t="s">
        <v>793</v>
      </c>
      <c r="G118" s="21" t="s">
        <v>10</v>
      </c>
      <c r="H118" s="15">
        <v>0.4</v>
      </c>
      <c r="I118" s="14" t="s">
        <v>372</v>
      </c>
      <c r="J118" s="14" t="s">
        <v>794</v>
      </c>
      <c r="K118" s="14" t="s">
        <v>371</v>
      </c>
      <c r="L118" s="14" t="s">
        <v>795</v>
      </c>
      <c r="M118" s="14" t="s">
        <v>796</v>
      </c>
      <c r="N118" s="14" t="s">
        <v>377</v>
      </c>
      <c r="O118" s="14" t="s">
        <v>797</v>
      </c>
    </row>
    <row r="119" spans="1:15" ht="75" customHeight="1" x14ac:dyDescent="0.25">
      <c r="A119" s="20">
        <v>115</v>
      </c>
      <c r="B119" s="14" t="s">
        <v>798</v>
      </c>
      <c r="C119" s="14" t="s">
        <v>110</v>
      </c>
      <c r="D119" s="20" t="s">
        <v>98</v>
      </c>
      <c r="E119" s="14" t="s">
        <v>16</v>
      </c>
      <c r="F119" s="14" t="s">
        <v>799</v>
      </c>
      <c r="G119" s="21" t="s">
        <v>10</v>
      </c>
      <c r="H119" s="15">
        <v>0.35</v>
      </c>
      <c r="I119" s="14" t="s">
        <v>372</v>
      </c>
      <c r="J119" s="14" t="s">
        <v>800</v>
      </c>
      <c r="K119" s="14" t="s">
        <v>801</v>
      </c>
      <c r="L119" s="14" t="s">
        <v>802</v>
      </c>
      <c r="M119" s="14" t="s">
        <v>91</v>
      </c>
      <c r="N119" s="14" t="s">
        <v>377</v>
      </c>
      <c r="O119" s="14" t="s">
        <v>803</v>
      </c>
    </row>
    <row r="120" spans="1:15" ht="75" customHeight="1" x14ac:dyDescent="0.25">
      <c r="A120" s="20">
        <v>116</v>
      </c>
      <c r="B120" s="14" t="s">
        <v>804</v>
      </c>
      <c r="C120" s="14" t="s">
        <v>116</v>
      </c>
      <c r="D120" s="20" t="s">
        <v>85</v>
      </c>
      <c r="E120" s="14" t="s">
        <v>27</v>
      </c>
      <c r="F120" s="14" t="s">
        <v>805</v>
      </c>
      <c r="G120" s="21" t="s">
        <v>10</v>
      </c>
      <c r="H120" s="15">
        <v>0.35</v>
      </c>
      <c r="I120" s="14" t="s">
        <v>372</v>
      </c>
      <c r="J120" s="14" t="s">
        <v>806</v>
      </c>
      <c r="K120" s="14" t="s">
        <v>371</v>
      </c>
      <c r="L120" s="14" t="s">
        <v>807</v>
      </c>
      <c r="M120" s="14" t="s">
        <v>91</v>
      </c>
      <c r="N120" s="14" t="s">
        <v>377</v>
      </c>
      <c r="O120" s="14" t="s">
        <v>685</v>
      </c>
    </row>
    <row r="121" spans="1:15" ht="75" customHeight="1" x14ac:dyDescent="0.25">
      <c r="A121" s="20">
        <v>117</v>
      </c>
      <c r="B121" s="14" t="s">
        <v>808</v>
      </c>
      <c r="C121" s="14" t="s">
        <v>116</v>
      </c>
      <c r="D121" s="20" t="s">
        <v>85</v>
      </c>
      <c r="E121" s="14" t="s">
        <v>39</v>
      </c>
      <c r="F121" s="14" t="s">
        <v>809</v>
      </c>
      <c r="G121" s="21" t="s">
        <v>10</v>
      </c>
      <c r="H121" s="15">
        <v>0.35</v>
      </c>
      <c r="I121" s="14" t="s">
        <v>372</v>
      </c>
      <c r="J121" s="14" t="s">
        <v>810</v>
      </c>
      <c r="K121" s="14" t="s">
        <v>811</v>
      </c>
      <c r="L121" s="14" t="s">
        <v>812</v>
      </c>
      <c r="M121" s="14" t="s">
        <v>91</v>
      </c>
      <c r="N121" s="14" t="s">
        <v>377</v>
      </c>
      <c r="O121" s="14" t="s">
        <v>813</v>
      </c>
    </row>
    <row r="122" spans="1:15" ht="75" customHeight="1" x14ac:dyDescent="0.25">
      <c r="A122" s="20">
        <v>118</v>
      </c>
      <c r="B122" s="14" t="s">
        <v>814</v>
      </c>
      <c r="C122" s="14" t="s">
        <v>116</v>
      </c>
      <c r="D122" s="20" t="s">
        <v>85</v>
      </c>
      <c r="E122" s="14" t="s">
        <v>15</v>
      </c>
      <c r="F122" s="14" t="s">
        <v>815</v>
      </c>
      <c r="G122" s="21" t="s">
        <v>10</v>
      </c>
      <c r="H122" s="15">
        <v>0.35</v>
      </c>
      <c r="I122" s="14" t="s">
        <v>372</v>
      </c>
      <c r="J122" s="14" t="s">
        <v>816</v>
      </c>
      <c r="K122" s="14" t="s">
        <v>817</v>
      </c>
      <c r="L122" s="14" t="s">
        <v>818</v>
      </c>
      <c r="M122" s="14" t="s">
        <v>91</v>
      </c>
      <c r="N122" s="14" t="s">
        <v>377</v>
      </c>
      <c r="O122" s="14" t="s">
        <v>819</v>
      </c>
    </row>
    <row r="123" spans="1:15" ht="66" customHeight="1" x14ac:dyDescent="0.25">
      <c r="A123" s="20">
        <v>119</v>
      </c>
      <c r="B123" s="14" t="s">
        <v>820</v>
      </c>
      <c r="C123" s="14" t="s">
        <v>116</v>
      </c>
      <c r="D123" s="20" t="s">
        <v>85</v>
      </c>
      <c r="E123" s="14" t="s">
        <v>15</v>
      </c>
      <c r="F123" s="14" t="s">
        <v>821</v>
      </c>
      <c r="G123" s="21" t="s">
        <v>10</v>
      </c>
      <c r="H123" s="15">
        <v>0.35</v>
      </c>
      <c r="I123" s="14" t="s">
        <v>87</v>
      </c>
      <c r="J123" s="14" t="s">
        <v>822</v>
      </c>
      <c r="K123" s="14" t="s">
        <v>823</v>
      </c>
      <c r="L123" s="14" t="s">
        <v>824</v>
      </c>
      <c r="M123" s="14" t="s">
        <v>91</v>
      </c>
      <c r="N123" s="14" t="s">
        <v>377</v>
      </c>
      <c r="O123" s="14" t="s">
        <v>825</v>
      </c>
    </row>
    <row r="124" spans="1:15" ht="75" customHeight="1" x14ac:dyDescent="0.25">
      <c r="A124" s="20">
        <v>120</v>
      </c>
      <c r="B124" s="14" t="s">
        <v>826</v>
      </c>
      <c r="C124" s="14" t="s">
        <v>127</v>
      </c>
      <c r="D124" s="20" t="s">
        <v>85</v>
      </c>
      <c r="E124" s="14" t="s">
        <v>14</v>
      </c>
      <c r="F124" s="14" t="s">
        <v>827</v>
      </c>
      <c r="G124" s="21" t="s">
        <v>10</v>
      </c>
      <c r="H124" s="15">
        <v>0.35</v>
      </c>
      <c r="I124" s="14" t="s">
        <v>372</v>
      </c>
      <c r="J124" s="14" t="s">
        <v>828</v>
      </c>
      <c r="K124" s="14" t="s">
        <v>829</v>
      </c>
      <c r="L124" s="14" t="s">
        <v>830</v>
      </c>
      <c r="M124" s="14" t="s">
        <v>831</v>
      </c>
      <c r="N124" s="14" t="s">
        <v>377</v>
      </c>
      <c r="O124" s="14" t="s">
        <v>832</v>
      </c>
    </row>
    <row r="125" spans="1:15" ht="75" customHeight="1" x14ac:dyDescent="0.25">
      <c r="A125" s="20">
        <v>121</v>
      </c>
      <c r="B125" s="14" t="s">
        <v>833</v>
      </c>
      <c r="C125" s="14" t="s">
        <v>116</v>
      </c>
      <c r="D125" s="20" t="s">
        <v>85</v>
      </c>
      <c r="E125" s="14" t="s">
        <v>14</v>
      </c>
      <c r="F125" s="14" t="s">
        <v>834</v>
      </c>
      <c r="G125" s="21" t="s">
        <v>10</v>
      </c>
      <c r="H125" s="15">
        <v>0.35</v>
      </c>
      <c r="I125" s="14" t="s">
        <v>372</v>
      </c>
      <c r="J125" s="14" t="s">
        <v>835</v>
      </c>
      <c r="K125" s="14" t="s">
        <v>836</v>
      </c>
      <c r="L125" s="14" t="s">
        <v>837</v>
      </c>
      <c r="M125" s="14" t="s">
        <v>91</v>
      </c>
      <c r="N125" s="14" t="s">
        <v>377</v>
      </c>
      <c r="O125" s="14" t="s">
        <v>838</v>
      </c>
    </row>
    <row r="126" spans="1:15" ht="75" customHeight="1" x14ac:dyDescent="0.25">
      <c r="A126" s="20">
        <v>122</v>
      </c>
      <c r="B126" s="14" t="s">
        <v>839</v>
      </c>
      <c r="C126" s="14" t="s">
        <v>110</v>
      </c>
      <c r="D126" s="20" t="s">
        <v>98</v>
      </c>
      <c r="E126" s="14" t="s">
        <v>16</v>
      </c>
      <c r="F126" s="14" t="s">
        <v>840</v>
      </c>
      <c r="G126" s="21" t="s">
        <v>10</v>
      </c>
      <c r="H126" s="15">
        <v>0.35</v>
      </c>
      <c r="I126" s="14" t="s">
        <v>372</v>
      </c>
      <c r="J126" s="14" t="s">
        <v>841</v>
      </c>
      <c r="K126" s="14" t="s">
        <v>842</v>
      </c>
      <c r="L126" s="14" t="s">
        <v>843</v>
      </c>
      <c r="M126" s="14" t="s">
        <v>844</v>
      </c>
      <c r="N126" s="14" t="s">
        <v>377</v>
      </c>
      <c r="O126" s="14" t="s">
        <v>845</v>
      </c>
    </row>
    <row r="127" spans="1:15" ht="75" customHeight="1" x14ac:dyDescent="0.25">
      <c r="A127" s="20">
        <v>123</v>
      </c>
      <c r="B127" s="14" t="s">
        <v>846</v>
      </c>
      <c r="C127" s="14" t="s">
        <v>116</v>
      </c>
      <c r="D127" s="20" t="s">
        <v>85</v>
      </c>
      <c r="E127" s="14" t="s">
        <v>15</v>
      </c>
      <c r="F127" s="14" t="s">
        <v>847</v>
      </c>
      <c r="G127" s="21" t="s">
        <v>10</v>
      </c>
      <c r="H127" s="15">
        <v>0.35</v>
      </c>
      <c r="I127" s="14" t="s">
        <v>425</v>
      </c>
      <c r="J127" s="14" t="s">
        <v>848</v>
      </c>
      <c r="K127" s="14" t="s">
        <v>371</v>
      </c>
      <c r="L127" s="14" t="s">
        <v>849</v>
      </c>
      <c r="M127" s="14" t="s">
        <v>91</v>
      </c>
      <c r="N127" s="14" t="s">
        <v>377</v>
      </c>
      <c r="O127" s="14" t="s">
        <v>850</v>
      </c>
    </row>
    <row r="128" spans="1:15" ht="75" customHeight="1" x14ac:dyDescent="0.25">
      <c r="A128" s="20">
        <v>124</v>
      </c>
      <c r="B128" s="14" t="s">
        <v>851</v>
      </c>
      <c r="C128" s="14" t="s">
        <v>110</v>
      </c>
      <c r="D128" s="20" t="s">
        <v>85</v>
      </c>
      <c r="E128" s="14" t="s">
        <v>14</v>
      </c>
      <c r="F128" s="14" t="s">
        <v>852</v>
      </c>
      <c r="G128" s="21" t="s">
        <v>10</v>
      </c>
      <c r="H128" s="15">
        <v>0.35</v>
      </c>
      <c r="I128" s="14" t="s">
        <v>372</v>
      </c>
      <c r="J128" s="14" t="s">
        <v>853</v>
      </c>
      <c r="K128" s="14" t="s">
        <v>854</v>
      </c>
      <c r="L128" s="14" t="s">
        <v>855</v>
      </c>
      <c r="M128" s="14" t="s">
        <v>91</v>
      </c>
      <c r="N128" s="14" t="s">
        <v>377</v>
      </c>
      <c r="O128" s="14" t="s">
        <v>546</v>
      </c>
    </row>
    <row r="129" spans="1:15" ht="75" customHeight="1" x14ac:dyDescent="0.25">
      <c r="A129" s="20">
        <v>125</v>
      </c>
      <c r="B129" s="14" t="s">
        <v>856</v>
      </c>
      <c r="C129" s="14" t="s">
        <v>110</v>
      </c>
      <c r="D129" s="20" t="s">
        <v>104</v>
      </c>
      <c r="E129" s="14" t="s">
        <v>32</v>
      </c>
      <c r="F129" s="14" t="s">
        <v>857</v>
      </c>
      <c r="G129" s="21" t="s">
        <v>10</v>
      </c>
      <c r="H129" s="15">
        <v>0.35</v>
      </c>
      <c r="I129" s="14" t="s">
        <v>372</v>
      </c>
      <c r="J129" s="14" t="s">
        <v>858</v>
      </c>
      <c r="K129" s="14" t="s">
        <v>859</v>
      </c>
      <c r="L129" s="14" t="s">
        <v>860</v>
      </c>
      <c r="M129" s="14" t="s">
        <v>91</v>
      </c>
      <c r="N129" s="14" t="s">
        <v>377</v>
      </c>
      <c r="O129" s="14" t="s">
        <v>861</v>
      </c>
    </row>
    <row r="130" spans="1:15" ht="75" customHeight="1" x14ac:dyDescent="0.25">
      <c r="A130" s="20">
        <v>126</v>
      </c>
      <c r="B130" s="14" t="s">
        <v>862</v>
      </c>
      <c r="C130" s="14" t="s">
        <v>110</v>
      </c>
      <c r="D130" s="20" t="s">
        <v>104</v>
      </c>
      <c r="E130" s="14" t="s">
        <v>32</v>
      </c>
      <c r="F130" s="14" t="s">
        <v>863</v>
      </c>
      <c r="G130" s="21" t="s">
        <v>10</v>
      </c>
      <c r="H130" s="15">
        <v>0.35</v>
      </c>
      <c r="I130" s="14" t="s">
        <v>372</v>
      </c>
      <c r="J130" s="14" t="s">
        <v>864</v>
      </c>
      <c r="K130" s="14" t="s">
        <v>865</v>
      </c>
      <c r="L130" s="14" t="s">
        <v>866</v>
      </c>
      <c r="M130" s="14" t="s">
        <v>91</v>
      </c>
      <c r="N130" s="14" t="s">
        <v>377</v>
      </c>
      <c r="O130" s="14" t="s">
        <v>867</v>
      </c>
    </row>
    <row r="131" spans="1:15" ht="75" customHeight="1" x14ac:dyDescent="0.25">
      <c r="A131" s="20">
        <v>127</v>
      </c>
      <c r="B131" s="14" t="s">
        <v>868</v>
      </c>
      <c r="C131" s="14" t="s">
        <v>127</v>
      </c>
      <c r="D131" s="20" t="s">
        <v>85</v>
      </c>
      <c r="E131" s="14" t="s">
        <v>27</v>
      </c>
      <c r="F131" s="14" t="s">
        <v>734</v>
      </c>
      <c r="G131" s="21" t="s">
        <v>10</v>
      </c>
      <c r="H131" s="15">
        <v>0.35</v>
      </c>
      <c r="I131" s="14" t="s">
        <v>372</v>
      </c>
      <c r="J131" s="14" t="s">
        <v>869</v>
      </c>
      <c r="K131" s="14" t="s">
        <v>870</v>
      </c>
      <c r="L131" s="14" t="s">
        <v>871</v>
      </c>
      <c r="M131" s="14" t="s">
        <v>91</v>
      </c>
      <c r="N131" s="14" t="s">
        <v>377</v>
      </c>
      <c r="O131" s="14" t="s">
        <v>872</v>
      </c>
    </row>
    <row r="132" spans="1:15" ht="75" customHeight="1" x14ac:dyDescent="0.25">
      <c r="A132" s="20">
        <v>128</v>
      </c>
      <c r="B132" s="14" t="s">
        <v>873</v>
      </c>
      <c r="C132" s="14" t="s">
        <v>116</v>
      </c>
      <c r="D132" s="20" t="s">
        <v>85</v>
      </c>
      <c r="E132" s="14" t="s">
        <v>15</v>
      </c>
      <c r="F132" s="14" t="s">
        <v>874</v>
      </c>
      <c r="G132" s="21" t="s">
        <v>10</v>
      </c>
      <c r="H132" s="15">
        <v>0.3</v>
      </c>
      <c r="I132" s="14" t="s">
        <v>372</v>
      </c>
      <c r="J132" s="14" t="s">
        <v>875</v>
      </c>
      <c r="K132" s="14" t="s">
        <v>876</v>
      </c>
      <c r="L132" s="14" t="s">
        <v>877</v>
      </c>
      <c r="M132" s="14" t="s">
        <v>640</v>
      </c>
      <c r="N132" s="14" t="s">
        <v>377</v>
      </c>
      <c r="O132" s="14" t="s">
        <v>685</v>
      </c>
    </row>
    <row r="133" spans="1:15" ht="75" customHeight="1" x14ac:dyDescent="0.25">
      <c r="A133" s="20">
        <v>129</v>
      </c>
      <c r="B133" s="14" t="s">
        <v>878</v>
      </c>
      <c r="C133" s="14" t="s">
        <v>110</v>
      </c>
      <c r="D133" s="20" t="s">
        <v>98</v>
      </c>
      <c r="E133" s="14" t="s">
        <v>16</v>
      </c>
      <c r="F133" s="14" t="s">
        <v>879</v>
      </c>
      <c r="G133" s="21" t="s">
        <v>10</v>
      </c>
      <c r="H133" s="15">
        <v>0.3</v>
      </c>
      <c r="I133" s="14" t="s">
        <v>372</v>
      </c>
      <c r="J133" s="14" t="s">
        <v>880</v>
      </c>
      <c r="K133" s="14" t="s">
        <v>881</v>
      </c>
      <c r="L133" s="14" t="s">
        <v>882</v>
      </c>
      <c r="M133" s="14" t="s">
        <v>91</v>
      </c>
      <c r="N133" s="14" t="s">
        <v>377</v>
      </c>
      <c r="O133" s="14" t="s">
        <v>883</v>
      </c>
    </row>
    <row r="134" spans="1:15" ht="75" customHeight="1" x14ac:dyDescent="0.25">
      <c r="A134" s="20">
        <v>130</v>
      </c>
      <c r="B134" s="14" t="s">
        <v>884</v>
      </c>
      <c r="C134" s="14" t="s">
        <v>110</v>
      </c>
      <c r="D134" s="20" t="s">
        <v>98</v>
      </c>
      <c r="E134" s="14" t="s">
        <v>16</v>
      </c>
      <c r="F134" s="14" t="s">
        <v>885</v>
      </c>
      <c r="G134" s="21" t="s">
        <v>10</v>
      </c>
      <c r="H134" s="15">
        <v>0.3</v>
      </c>
      <c r="I134" s="14" t="s">
        <v>372</v>
      </c>
      <c r="J134" s="14" t="s">
        <v>886</v>
      </c>
      <c r="K134" s="14" t="s">
        <v>887</v>
      </c>
      <c r="L134" s="14" t="s">
        <v>888</v>
      </c>
      <c r="M134" s="14" t="s">
        <v>91</v>
      </c>
      <c r="N134" s="14" t="s">
        <v>377</v>
      </c>
      <c r="O134" s="14" t="s">
        <v>889</v>
      </c>
    </row>
    <row r="135" spans="1:15" ht="75" customHeight="1" x14ac:dyDescent="0.25">
      <c r="A135" s="20">
        <v>131</v>
      </c>
      <c r="B135" s="14" t="s">
        <v>890</v>
      </c>
      <c r="C135" s="14" t="s">
        <v>110</v>
      </c>
      <c r="D135" s="20" t="s">
        <v>85</v>
      </c>
      <c r="E135" s="14" t="s">
        <v>14</v>
      </c>
      <c r="F135" s="14" t="s">
        <v>891</v>
      </c>
      <c r="G135" s="21" t="s">
        <v>10</v>
      </c>
      <c r="H135" s="15">
        <v>0.3</v>
      </c>
      <c r="I135" s="14" t="s">
        <v>425</v>
      </c>
      <c r="J135" s="14" t="s">
        <v>892</v>
      </c>
      <c r="K135" s="14" t="s">
        <v>893</v>
      </c>
      <c r="L135" s="14" t="s">
        <v>894</v>
      </c>
      <c r="M135" s="14" t="s">
        <v>91</v>
      </c>
      <c r="N135" s="14" t="s">
        <v>377</v>
      </c>
      <c r="O135" s="14" t="s">
        <v>895</v>
      </c>
    </row>
    <row r="136" spans="1:15" ht="75" customHeight="1" x14ac:dyDescent="0.25">
      <c r="A136" s="20">
        <v>132</v>
      </c>
      <c r="B136" s="14" t="s">
        <v>896</v>
      </c>
      <c r="C136" s="14" t="s">
        <v>110</v>
      </c>
      <c r="D136" s="20" t="s">
        <v>85</v>
      </c>
      <c r="E136" s="14" t="s">
        <v>15</v>
      </c>
      <c r="F136" s="14" t="s">
        <v>897</v>
      </c>
      <c r="G136" s="21" t="s">
        <v>10</v>
      </c>
      <c r="H136" s="15">
        <v>0.3</v>
      </c>
      <c r="I136" s="14" t="s">
        <v>425</v>
      </c>
      <c r="J136" s="14" t="s">
        <v>898</v>
      </c>
      <c r="K136" s="14" t="s">
        <v>371</v>
      </c>
      <c r="L136" s="14" t="s">
        <v>899</v>
      </c>
      <c r="M136" s="14" t="s">
        <v>91</v>
      </c>
      <c r="N136" s="14" t="s">
        <v>377</v>
      </c>
      <c r="O136" s="14" t="s">
        <v>900</v>
      </c>
    </row>
    <row r="137" spans="1:15" ht="66" customHeight="1" x14ac:dyDescent="0.25">
      <c r="A137" s="20">
        <v>133</v>
      </c>
      <c r="B137" s="14" t="s">
        <v>901</v>
      </c>
      <c r="C137" s="14" t="s">
        <v>116</v>
      </c>
      <c r="D137" s="20" t="s">
        <v>104</v>
      </c>
      <c r="E137" s="14" t="s">
        <v>32</v>
      </c>
      <c r="F137" s="14" t="s">
        <v>902</v>
      </c>
      <c r="G137" s="21" t="s">
        <v>10</v>
      </c>
      <c r="H137" s="15">
        <v>0.3</v>
      </c>
      <c r="I137" s="14" t="s">
        <v>87</v>
      </c>
      <c r="J137" s="14" t="s">
        <v>903</v>
      </c>
      <c r="K137" s="14" t="s">
        <v>904</v>
      </c>
      <c r="L137" s="14" t="s">
        <v>905</v>
      </c>
      <c r="M137" s="14" t="s">
        <v>91</v>
      </c>
      <c r="N137" s="14" t="s">
        <v>377</v>
      </c>
      <c r="O137" s="14" t="s">
        <v>906</v>
      </c>
    </row>
    <row r="138" spans="1:15" ht="75" customHeight="1" x14ac:dyDescent="0.25">
      <c r="A138" s="20">
        <v>134</v>
      </c>
      <c r="B138" s="14" t="s">
        <v>907</v>
      </c>
      <c r="C138" s="14" t="s">
        <v>110</v>
      </c>
      <c r="D138" s="20" t="s">
        <v>104</v>
      </c>
      <c r="E138" s="14" t="s">
        <v>32</v>
      </c>
      <c r="F138" s="14" t="s">
        <v>908</v>
      </c>
      <c r="G138" s="21" t="s">
        <v>10</v>
      </c>
      <c r="H138" s="15">
        <v>0.3</v>
      </c>
      <c r="I138" s="14" t="s">
        <v>372</v>
      </c>
      <c r="J138" s="14" t="s">
        <v>909</v>
      </c>
      <c r="K138" s="14" t="s">
        <v>910</v>
      </c>
      <c r="L138" s="14" t="s">
        <v>911</v>
      </c>
      <c r="M138" s="14" t="s">
        <v>912</v>
      </c>
      <c r="N138" s="14" t="s">
        <v>377</v>
      </c>
      <c r="O138" s="14" t="s">
        <v>913</v>
      </c>
    </row>
    <row r="139" spans="1:15" ht="75" customHeight="1" x14ac:dyDescent="0.25">
      <c r="A139" s="20">
        <v>135</v>
      </c>
      <c r="B139" s="14" t="s">
        <v>914</v>
      </c>
      <c r="C139" s="14" t="s">
        <v>110</v>
      </c>
      <c r="D139" s="20" t="s">
        <v>85</v>
      </c>
      <c r="E139" s="14" t="s">
        <v>15</v>
      </c>
      <c r="F139" s="14" t="s">
        <v>915</v>
      </c>
      <c r="G139" s="21" t="s">
        <v>10</v>
      </c>
      <c r="H139" s="15">
        <v>0.3</v>
      </c>
      <c r="I139" s="14" t="s">
        <v>372</v>
      </c>
      <c r="J139" s="14" t="s">
        <v>916</v>
      </c>
      <c r="K139" s="14" t="s">
        <v>371</v>
      </c>
      <c r="L139" s="14" t="s">
        <v>917</v>
      </c>
      <c r="M139" s="14" t="s">
        <v>91</v>
      </c>
      <c r="N139" s="14" t="s">
        <v>377</v>
      </c>
      <c r="O139" s="14" t="s">
        <v>467</v>
      </c>
    </row>
    <row r="140" spans="1:15" ht="75" customHeight="1" x14ac:dyDescent="0.25">
      <c r="A140" s="20">
        <v>136</v>
      </c>
      <c r="B140" s="14" t="s">
        <v>918</v>
      </c>
      <c r="C140" s="14" t="s">
        <v>116</v>
      </c>
      <c r="D140" s="20" t="s">
        <v>85</v>
      </c>
      <c r="E140" s="14" t="s">
        <v>15</v>
      </c>
      <c r="F140" s="14" t="s">
        <v>919</v>
      </c>
      <c r="G140" s="21" t="s">
        <v>10</v>
      </c>
      <c r="H140" s="15">
        <v>0.3</v>
      </c>
      <c r="I140" s="14" t="s">
        <v>372</v>
      </c>
      <c r="J140" s="14" t="s">
        <v>920</v>
      </c>
      <c r="K140" s="14" t="s">
        <v>921</v>
      </c>
      <c r="L140" s="14" t="s">
        <v>922</v>
      </c>
      <c r="M140" s="14" t="s">
        <v>91</v>
      </c>
      <c r="N140" s="14" t="s">
        <v>377</v>
      </c>
      <c r="O140" s="14" t="s">
        <v>923</v>
      </c>
    </row>
    <row r="141" spans="1:15" ht="102" customHeight="1" x14ac:dyDescent="0.25">
      <c r="A141" s="20">
        <v>137</v>
      </c>
      <c r="B141" s="14" t="s">
        <v>924</v>
      </c>
      <c r="C141" s="14" t="s">
        <v>116</v>
      </c>
      <c r="D141" s="20" t="s">
        <v>85</v>
      </c>
      <c r="E141" s="14" t="s">
        <v>27</v>
      </c>
      <c r="F141" s="14" t="s">
        <v>925</v>
      </c>
      <c r="G141" s="21" t="s">
        <v>10</v>
      </c>
      <c r="H141" s="15">
        <v>0.3</v>
      </c>
      <c r="I141" s="14" t="s">
        <v>87</v>
      </c>
      <c r="J141" s="14" t="s">
        <v>926</v>
      </c>
      <c r="K141" s="14" t="s">
        <v>927</v>
      </c>
      <c r="L141" s="14" t="s">
        <v>928</v>
      </c>
      <c r="M141" s="14" t="s">
        <v>91</v>
      </c>
      <c r="N141" s="14" t="s">
        <v>377</v>
      </c>
      <c r="O141" s="14" t="s">
        <v>929</v>
      </c>
    </row>
    <row r="142" spans="1:15" ht="54" customHeight="1" x14ac:dyDescent="0.25">
      <c r="A142" s="20">
        <v>138</v>
      </c>
      <c r="B142" s="14" t="s">
        <v>930</v>
      </c>
      <c r="C142" s="14" t="s">
        <v>116</v>
      </c>
      <c r="D142" s="20" t="s">
        <v>104</v>
      </c>
      <c r="E142" s="14" t="s">
        <v>32</v>
      </c>
      <c r="F142" s="14" t="s">
        <v>931</v>
      </c>
      <c r="G142" s="21" t="s">
        <v>10</v>
      </c>
      <c r="H142" s="15">
        <v>0.3</v>
      </c>
      <c r="I142" s="14" t="s">
        <v>87</v>
      </c>
      <c r="J142" s="14" t="s">
        <v>932</v>
      </c>
      <c r="K142" s="14" t="s">
        <v>933</v>
      </c>
      <c r="L142" s="14" t="s">
        <v>934</v>
      </c>
      <c r="M142" s="14" t="s">
        <v>91</v>
      </c>
      <c r="N142" s="14" t="s">
        <v>377</v>
      </c>
      <c r="O142" s="14" t="s">
        <v>935</v>
      </c>
    </row>
    <row r="143" spans="1:15" ht="75" customHeight="1" x14ac:dyDescent="0.25">
      <c r="A143" s="20">
        <v>139</v>
      </c>
      <c r="B143" s="14" t="s">
        <v>936</v>
      </c>
      <c r="C143" s="14" t="s">
        <v>110</v>
      </c>
      <c r="D143" s="20" t="s">
        <v>85</v>
      </c>
      <c r="E143" s="14" t="s">
        <v>27</v>
      </c>
      <c r="F143" s="14" t="s">
        <v>937</v>
      </c>
      <c r="G143" s="21" t="s">
        <v>10</v>
      </c>
      <c r="H143" s="15">
        <v>0.3</v>
      </c>
      <c r="I143" s="14" t="s">
        <v>425</v>
      </c>
      <c r="J143" s="14" t="s">
        <v>938</v>
      </c>
      <c r="K143" s="14" t="s">
        <v>939</v>
      </c>
      <c r="L143" s="14" t="s">
        <v>940</v>
      </c>
      <c r="M143" s="14" t="s">
        <v>91</v>
      </c>
      <c r="N143" s="14" t="s">
        <v>377</v>
      </c>
      <c r="O143" s="14" t="s">
        <v>941</v>
      </c>
    </row>
    <row r="144" spans="1:15" ht="75" customHeight="1" x14ac:dyDescent="0.25">
      <c r="A144" s="20">
        <v>140</v>
      </c>
      <c r="B144" s="14" t="s">
        <v>942</v>
      </c>
      <c r="C144" s="14" t="s">
        <v>127</v>
      </c>
      <c r="D144" s="20" t="s">
        <v>85</v>
      </c>
      <c r="E144" s="14" t="s">
        <v>15</v>
      </c>
      <c r="F144" s="14" t="s">
        <v>943</v>
      </c>
      <c r="G144" s="21" t="s">
        <v>10</v>
      </c>
      <c r="H144" s="15">
        <v>0.3</v>
      </c>
      <c r="I144" s="14" t="s">
        <v>372</v>
      </c>
      <c r="J144" s="14" t="s">
        <v>944</v>
      </c>
      <c r="K144" s="14" t="s">
        <v>945</v>
      </c>
      <c r="L144" s="14" t="s">
        <v>946</v>
      </c>
      <c r="M144" s="14" t="s">
        <v>91</v>
      </c>
      <c r="N144" s="14" t="s">
        <v>377</v>
      </c>
      <c r="O144" s="14" t="s">
        <v>947</v>
      </c>
    </row>
    <row r="145" spans="1:15" ht="75" customHeight="1" x14ac:dyDescent="0.25">
      <c r="A145" s="20">
        <v>141</v>
      </c>
      <c r="B145" s="14" t="s">
        <v>948</v>
      </c>
      <c r="C145" s="14" t="s">
        <v>110</v>
      </c>
      <c r="D145" s="20" t="s">
        <v>98</v>
      </c>
      <c r="E145" s="14" t="s">
        <v>16</v>
      </c>
      <c r="F145" s="14" t="s">
        <v>949</v>
      </c>
      <c r="G145" s="21" t="s">
        <v>10</v>
      </c>
      <c r="H145" s="15">
        <v>0.3</v>
      </c>
      <c r="I145" s="14" t="s">
        <v>425</v>
      </c>
      <c r="J145" s="14" t="s">
        <v>950</v>
      </c>
      <c r="K145" s="14" t="s">
        <v>951</v>
      </c>
      <c r="L145" s="14" t="s">
        <v>952</v>
      </c>
      <c r="M145" s="14" t="s">
        <v>91</v>
      </c>
      <c r="N145" s="14" t="s">
        <v>377</v>
      </c>
      <c r="O145" s="14" t="s">
        <v>953</v>
      </c>
    </row>
    <row r="146" spans="1:15" ht="75" customHeight="1" x14ac:dyDescent="0.25">
      <c r="A146" s="20">
        <v>142</v>
      </c>
      <c r="B146" s="14" t="s">
        <v>954</v>
      </c>
      <c r="C146" s="14" t="s">
        <v>110</v>
      </c>
      <c r="D146" s="20" t="s">
        <v>98</v>
      </c>
      <c r="E146" s="14" t="s">
        <v>16</v>
      </c>
      <c r="F146" s="14" t="s">
        <v>949</v>
      </c>
      <c r="G146" s="21" t="s">
        <v>10</v>
      </c>
      <c r="H146" s="15">
        <v>0.3</v>
      </c>
      <c r="I146" s="14" t="s">
        <v>372</v>
      </c>
      <c r="J146" s="14" t="s">
        <v>955</v>
      </c>
      <c r="K146" s="14" t="s">
        <v>956</v>
      </c>
      <c r="L146" s="14" t="s">
        <v>957</v>
      </c>
      <c r="M146" s="14" t="s">
        <v>91</v>
      </c>
      <c r="N146" s="14" t="s">
        <v>377</v>
      </c>
      <c r="O146" s="14" t="s">
        <v>958</v>
      </c>
    </row>
    <row r="147" spans="1:15" ht="78" customHeight="1" x14ac:dyDescent="0.25">
      <c r="A147" s="20">
        <v>143</v>
      </c>
      <c r="B147" s="14" t="s">
        <v>959</v>
      </c>
      <c r="C147" s="14" t="s">
        <v>110</v>
      </c>
      <c r="D147" s="20" t="s">
        <v>104</v>
      </c>
      <c r="E147" s="14" t="s">
        <v>32</v>
      </c>
      <c r="F147" s="14" t="s">
        <v>960</v>
      </c>
      <c r="G147" s="21" t="s">
        <v>10</v>
      </c>
      <c r="H147" s="15">
        <v>0.3</v>
      </c>
      <c r="I147" s="14" t="s">
        <v>87</v>
      </c>
      <c r="J147" s="14" t="s">
        <v>961</v>
      </c>
      <c r="K147" s="14" t="s">
        <v>962</v>
      </c>
      <c r="L147" s="14" t="s">
        <v>963</v>
      </c>
      <c r="M147" s="14" t="s">
        <v>91</v>
      </c>
      <c r="N147" s="14" t="s">
        <v>377</v>
      </c>
      <c r="O147" s="14" t="s">
        <v>964</v>
      </c>
    </row>
    <row r="148" spans="1:15" ht="75" customHeight="1" x14ac:dyDescent="0.25">
      <c r="A148" s="20">
        <v>144</v>
      </c>
      <c r="B148" s="14" t="s">
        <v>965</v>
      </c>
      <c r="C148" s="14" t="s">
        <v>110</v>
      </c>
      <c r="D148" s="20" t="s">
        <v>85</v>
      </c>
      <c r="E148" s="14" t="s">
        <v>39</v>
      </c>
      <c r="F148" s="14" t="s">
        <v>371</v>
      </c>
      <c r="G148" s="21" t="s">
        <v>10</v>
      </c>
      <c r="H148" s="15">
        <v>0.3</v>
      </c>
      <c r="I148" s="14" t="s">
        <v>372</v>
      </c>
      <c r="J148" s="14" t="s">
        <v>966</v>
      </c>
      <c r="K148" s="14" t="s">
        <v>371</v>
      </c>
      <c r="L148" s="14" t="s">
        <v>967</v>
      </c>
      <c r="M148" s="14" t="s">
        <v>91</v>
      </c>
      <c r="N148" s="14" t="s">
        <v>377</v>
      </c>
      <c r="O148" s="14" t="s">
        <v>968</v>
      </c>
    </row>
    <row r="149" spans="1:15" ht="78" customHeight="1" x14ac:dyDescent="0.25">
      <c r="A149" s="20">
        <v>145</v>
      </c>
      <c r="B149" s="14" t="s">
        <v>969</v>
      </c>
      <c r="C149" s="14" t="s">
        <v>110</v>
      </c>
      <c r="D149" s="20" t="s">
        <v>85</v>
      </c>
      <c r="E149" s="14" t="s">
        <v>15</v>
      </c>
      <c r="F149" s="14" t="s">
        <v>970</v>
      </c>
      <c r="G149" s="21" t="s">
        <v>10</v>
      </c>
      <c r="H149" s="15">
        <v>0.3</v>
      </c>
      <c r="I149" s="14" t="s">
        <v>87</v>
      </c>
      <c r="J149" s="14" t="s">
        <v>971</v>
      </c>
      <c r="K149" s="14" t="s">
        <v>972</v>
      </c>
      <c r="L149" s="14" t="s">
        <v>973</v>
      </c>
      <c r="M149" s="14" t="s">
        <v>91</v>
      </c>
      <c r="N149" s="14" t="s">
        <v>377</v>
      </c>
      <c r="O149" s="14" t="s">
        <v>974</v>
      </c>
    </row>
    <row r="150" spans="1:15" ht="75" customHeight="1" x14ac:dyDescent="0.25">
      <c r="A150" s="20">
        <v>146</v>
      </c>
      <c r="B150" s="14" t="s">
        <v>975</v>
      </c>
      <c r="C150" s="14" t="s">
        <v>127</v>
      </c>
      <c r="D150" s="20" t="s">
        <v>85</v>
      </c>
      <c r="E150" s="14" t="s">
        <v>15</v>
      </c>
      <c r="F150" s="14" t="s">
        <v>259</v>
      </c>
      <c r="G150" s="21" t="s">
        <v>10</v>
      </c>
      <c r="H150" s="15">
        <v>0.3</v>
      </c>
      <c r="I150" s="14" t="s">
        <v>372</v>
      </c>
      <c r="J150" s="14" t="s">
        <v>976</v>
      </c>
      <c r="K150" s="14" t="s">
        <v>485</v>
      </c>
      <c r="L150" s="14" t="s">
        <v>977</v>
      </c>
      <c r="M150" s="14" t="s">
        <v>91</v>
      </c>
      <c r="N150" s="14" t="s">
        <v>377</v>
      </c>
      <c r="O150" s="14" t="s">
        <v>978</v>
      </c>
    </row>
    <row r="151" spans="1:15" ht="78" customHeight="1" x14ac:dyDescent="0.25">
      <c r="A151" s="20">
        <v>147</v>
      </c>
      <c r="B151" s="14" t="s">
        <v>979</v>
      </c>
      <c r="C151" s="14" t="s">
        <v>127</v>
      </c>
      <c r="D151" s="20" t="s">
        <v>85</v>
      </c>
      <c r="E151" s="14" t="s">
        <v>27</v>
      </c>
      <c r="F151" s="14" t="s">
        <v>980</v>
      </c>
      <c r="G151" s="21" t="s">
        <v>10</v>
      </c>
      <c r="H151" s="15">
        <v>0.3</v>
      </c>
      <c r="I151" s="14" t="s">
        <v>87</v>
      </c>
      <c r="J151" s="14" t="s">
        <v>981</v>
      </c>
      <c r="K151" s="14" t="s">
        <v>982</v>
      </c>
      <c r="L151" s="14" t="s">
        <v>983</v>
      </c>
      <c r="M151" s="14" t="s">
        <v>91</v>
      </c>
      <c r="N151" s="14" t="s">
        <v>377</v>
      </c>
      <c r="O151" s="14" t="s">
        <v>984</v>
      </c>
    </row>
    <row r="152" spans="1:15" ht="75" customHeight="1" x14ac:dyDescent="0.25">
      <c r="A152" s="20">
        <v>148</v>
      </c>
      <c r="B152" s="14" t="s">
        <v>985</v>
      </c>
      <c r="C152" s="14" t="s">
        <v>116</v>
      </c>
      <c r="D152" s="20" t="s">
        <v>85</v>
      </c>
      <c r="E152" s="14" t="s">
        <v>27</v>
      </c>
      <c r="F152" s="14" t="s">
        <v>986</v>
      </c>
      <c r="G152" s="21" t="s">
        <v>10</v>
      </c>
      <c r="H152" s="15">
        <v>0.3</v>
      </c>
      <c r="I152" s="14" t="s">
        <v>372</v>
      </c>
      <c r="J152" s="14" t="s">
        <v>987</v>
      </c>
      <c r="K152" s="14" t="s">
        <v>371</v>
      </c>
      <c r="L152" s="14" t="s">
        <v>988</v>
      </c>
      <c r="M152" s="14" t="s">
        <v>91</v>
      </c>
      <c r="N152" s="14" t="s">
        <v>377</v>
      </c>
      <c r="O152" s="14" t="s">
        <v>685</v>
      </c>
    </row>
    <row r="153" spans="1:15" ht="78" customHeight="1" x14ac:dyDescent="0.25">
      <c r="A153" s="20">
        <v>149</v>
      </c>
      <c r="B153" s="14" t="s">
        <v>989</v>
      </c>
      <c r="C153" s="14" t="s">
        <v>116</v>
      </c>
      <c r="D153" s="20" t="s">
        <v>85</v>
      </c>
      <c r="E153" s="14" t="s">
        <v>27</v>
      </c>
      <c r="F153" s="14" t="s">
        <v>990</v>
      </c>
      <c r="G153" s="21" t="s">
        <v>10</v>
      </c>
      <c r="H153" s="15">
        <v>0.3</v>
      </c>
      <c r="I153" s="14" t="s">
        <v>87</v>
      </c>
      <c r="J153" s="14" t="s">
        <v>991</v>
      </c>
      <c r="K153" s="14" t="s">
        <v>992</v>
      </c>
      <c r="L153" s="14" t="s">
        <v>993</v>
      </c>
      <c r="M153" s="14" t="s">
        <v>91</v>
      </c>
      <c r="N153" s="14" t="s">
        <v>377</v>
      </c>
      <c r="O153" s="14" t="s">
        <v>994</v>
      </c>
    </row>
    <row r="154" spans="1:15" ht="75" customHeight="1" x14ac:dyDescent="0.25">
      <c r="A154" s="20">
        <v>150</v>
      </c>
      <c r="B154" s="14" t="s">
        <v>995</v>
      </c>
      <c r="C154" s="14" t="s">
        <v>84</v>
      </c>
      <c r="D154" s="20" t="s">
        <v>104</v>
      </c>
      <c r="E154" s="14" t="s">
        <v>32</v>
      </c>
      <c r="F154" s="14" t="s">
        <v>996</v>
      </c>
      <c r="G154" s="21" t="s">
        <v>10</v>
      </c>
      <c r="H154" s="15">
        <v>0.3</v>
      </c>
      <c r="I154" s="14" t="s">
        <v>372</v>
      </c>
      <c r="J154" s="14" t="s">
        <v>997</v>
      </c>
      <c r="K154" s="14" t="s">
        <v>998</v>
      </c>
      <c r="L154" s="14" t="s">
        <v>999</v>
      </c>
      <c r="M154" s="14" t="s">
        <v>91</v>
      </c>
      <c r="N154" s="14" t="s">
        <v>377</v>
      </c>
      <c r="O154" s="14" t="s">
        <v>601</v>
      </c>
    </row>
    <row r="155" spans="1:15" ht="75" customHeight="1" x14ac:dyDescent="0.25">
      <c r="A155" s="20">
        <v>151</v>
      </c>
      <c r="B155" s="14" t="s">
        <v>1000</v>
      </c>
      <c r="C155" s="14" t="s">
        <v>110</v>
      </c>
      <c r="D155" s="20" t="s">
        <v>98</v>
      </c>
      <c r="E155" s="14" t="s">
        <v>16</v>
      </c>
      <c r="F155" s="14" t="s">
        <v>1001</v>
      </c>
      <c r="G155" s="21" t="s">
        <v>10</v>
      </c>
      <c r="H155" s="15">
        <v>0.25</v>
      </c>
      <c r="I155" s="14" t="s">
        <v>372</v>
      </c>
      <c r="J155" s="14" t="s">
        <v>1002</v>
      </c>
      <c r="K155" s="14" t="s">
        <v>1003</v>
      </c>
      <c r="L155" s="14" t="s">
        <v>1004</v>
      </c>
      <c r="M155" s="14" t="s">
        <v>1005</v>
      </c>
      <c r="N155" s="14" t="s">
        <v>377</v>
      </c>
      <c r="O155" s="14" t="s">
        <v>1006</v>
      </c>
    </row>
    <row r="156" spans="1:15" ht="75" customHeight="1" x14ac:dyDescent="0.25">
      <c r="A156" s="20">
        <v>152</v>
      </c>
      <c r="B156" s="14" t="s">
        <v>1007</v>
      </c>
      <c r="C156" s="14" t="s">
        <v>110</v>
      </c>
      <c r="D156" s="20" t="s">
        <v>98</v>
      </c>
      <c r="E156" s="14" t="s">
        <v>16</v>
      </c>
      <c r="F156" s="14" t="s">
        <v>949</v>
      </c>
      <c r="G156" s="21" t="s">
        <v>10</v>
      </c>
      <c r="H156" s="15">
        <v>0.25</v>
      </c>
      <c r="I156" s="14" t="s">
        <v>372</v>
      </c>
      <c r="J156" s="14" t="s">
        <v>1008</v>
      </c>
      <c r="K156" s="14" t="s">
        <v>1009</v>
      </c>
      <c r="L156" s="14" t="s">
        <v>1010</v>
      </c>
      <c r="M156" s="14" t="s">
        <v>91</v>
      </c>
      <c r="N156" s="14" t="s">
        <v>377</v>
      </c>
      <c r="O156" s="14" t="s">
        <v>1011</v>
      </c>
    </row>
    <row r="157" spans="1:15" ht="75" customHeight="1" x14ac:dyDescent="0.25">
      <c r="A157" s="20">
        <v>153</v>
      </c>
      <c r="B157" s="14" t="s">
        <v>1012</v>
      </c>
      <c r="C157" s="14" t="s">
        <v>116</v>
      </c>
      <c r="D157" s="20" t="s">
        <v>85</v>
      </c>
      <c r="E157" s="14" t="s">
        <v>27</v>
      </c>
      <c r="F157" s="14" t="s">
        <v>1013</v>
      </c>
      <c r="G157" s="21" t="s">
        <v>10</v>
      </c>
      <c r="H157" s="15">
        <v>0.25</v>
      </c>
      <c r="I157" s="14" t="s">
        <v>372</v>
      </c>
      <c r="J157" s="14" t="s">
        <v>1014</v>
      </c>
      <c r="K157" s="14" t="s">
        <v>371</v>
      </c>
      <c r="L157" s="14" t="s">
        <v>1015</v>
      </c>
      <c r="M157" s="14" t="s">
        <v>91</v>
      </c>
      <c r="N157" s="14" t="s">
        <v>377</v>
      </c>
      <c r="O157" s="14" t="s">
        <v>1016</v>
      </c>
    </row>
    <row r="158" spans="1:15" ht="75" customHeight="1" x14ac:dyDescent="0.25">
      <c r="A158" s="20">
        <v>154</v>
      </c>
      <c r="B158" s="14" t="s">
        <v>1017</v>
      </c>
      <c r="C158" s="14" t="s">
        <v>110</v>
      </c>
      <c r="D158" s="20" t="s">
        <v>104</v>
      </c>
      <c r="E158" s="14" t="s">
        <v>32</v>
      </c>
      <c r="F158" s="14" t="s">
        <v>1018</v>
      </c>
      <c r="G158" s="21" t="s">
        <v>10</v>
      </c>
      <c r="H158" s="15">
        <v>0.25</v>
      </c>
      <c r="I158" s="14" t="s">
        <v>372</v>
      </c>
      <c r="J158" s="14" t="s">
        <v>1019</v>
      </c>
      <c r="K158" s="14" t="s">
        <v>1020</v>
      </c>
      <c r="L158" s="14" t="s">
        <v>1021</v>
      </c>
      <c r="M158" s="14" t="s">
        <v>91</v>
      </c>
      <c r="N158" s="14" t="s">
        <v>377</v>
      </c>
      <c r="O158" s="14" t="s">
        <v>1022</v>
      </c>
    </row>
    <row r="159" spans="1:15" ht="75" customHeight="1" x14ac:dyDescent="0.25">
      <c r="A159" s="20">
        <v>155</v>
      </c>
      <c r="B159" s="14" t="s">
        <v>1023</v>
      </c>
      <c r="C159" s="14" t="s">
        <v>110</v>
      </c>
      <c r="D159" s="20" t="s">
        <v>98</v>
      </c>
      <c r="E159" s="14" t="s">
        <v>16</v>
      </c>
      <c r="F159" s="14" t="s">
        <v>1024</v>
      </c>
      <c r="G159" s="21" t="s">
        <v>10</v>
      </c>
      <c r="H159" s="15">
        <v>0.25</v>
      </c>
      <c r="I159" s="14" t="s">
        <v>372</v>
      </c>
      <c r="J159" s="14" t="s">
        <v>1025</v>
      </c>
      <c r="K159" s="14" t="s">
        <v>1026</v>
      </c>
      <c r="L159" s="14" t="s">
        <v>1027</v>
      </c>
      <c r="M159" s="14" t="s">
        <v>91</v>
      </c>
      <c r="N159" s="14" t="s">
        <v>377</v>
      </c>
      <c r="O159" s="14" t="s">
        <v>1028</v>
      </c>
    </row>
    <row r="160" spans="1:15" ht="75" customHeight="1" x14ac:dyDescent="0.25">
      <c r="A160" s="20">
        <v>156</v>
      </c>
      <c r="B160" s="14" t="s">
        <v>1029</v>
      </c>
      <c r="C160" s="14" t="s">
        <v>110</v>
      </c>
      <c r="D160" s="20" t="s">
        <v>98</v>
      </c>
      <c r="E160" s="14" t="s">
        <v>16</v>
      </c>
      <c r="F160" s="14" t="s">
        <v>840</v>
      </c>
      <c r="G160" s="21" t="s">
        <v>10</v>
      </c>
      <c r="H160" s="15">
        <v>0.25</v>
      </c>
      <c r="I160" s="14" t="s">
        <v>372</v>
      </c>
      <c r="J160" s="14" t="s">
        <v>1030</v>
      </c>
      <c r="K160" s="14" t="s">
        <v>1031</v>
      </c>
      <c r="L160" s="14" t="s">
        <v>1032</v>
      </c>
      <c r="M160" s="14" t="s">
        <v>91</v>
      </c>
      <c r="N160" s="14" t="s">
        <v>377</v>
      </c>
      <c r="O160" s="14" t="s">
        <v>1033</v>
      </c>
    </row>
    <row r="161" spans="1:15" ht="75" customHeight="1" x14ac:dyDescent="0.25">
      <c r="A161" s="20">
        <v>157</v>
      </c>
      <c r="B161" s="14" t="s">
        <v>1034</v>
      </c>
      <c r="C161" s="14" t="s">
        <v>110</v>
      </c>
      <c r="D161" s="20" t="s">
        <v>104</v>
      </c>
      <c r="E161" s="14" t="s">
        <v>32</v>
      </c>
      <c r="F161" s="14" t="s">
        <v>1035</v>
      </c>
      <c r="G161" s="21" t="s">
        <v>10</v>
      </c>
      <c r="H161" s="15">
        <v>0.25</v>
      </c>
      <c r="I161" s="14" t="s">
        <v>425</v>
      </c>
      <c r="J161" s="14" t="s">
        <v>1036</v>
      </c>
      <c r="K161" s="14" t="s">
        <v>1037</v>
      </c>
      <c r="L161" s="14" t="s">
        <v>1038</v>
      </c>
      <c r="M161" s="14" t="s">
        <v>91</v>
      </c>
      <c r="N161" s="14" t="s">
        <v>377</v>
      </c>
      <c r="O161" s="14" t="s">
        <v>1039</v>
      </c>
    </row>
    <row r="162" spans="1:15" ht="75" customHeight="1" x14ac:dyDescent="0.25">
      <c r="A162" s="20">
        <v>158</v>
      </c>
      <c r="B162" s="14" t="s">
        <v>1040</v>
      </c>
      <c r="C162" s="14" t="s">
        <v>127</v>
      </c>
      <c r="D162" s="20" t="s">
        <v>85</v>
      </c>
      <c r="E162" s="14" t="s">
        <v>14</v>
      </c>
      <c r="F162" s="14" t="s">
        <v>1041</v>
      </c>
      <c r="G162" s="21" t="s">
        <v>10</v>
      </c>
      <c r="H162" s="15">
        <v>0.25</v>
      </c>
      <c r="I162" s="14" t="s">
        <v>372</v>
      </c>
      <c r="J162" s="14" t="s">
        <v>1042</v>
      </c>
      <c r="K162" s="14" t="s">
        <v>485</v>
      </c>
      <c r="L162" s="14" t="s">
        <v>1043</v>
      </c>
      <c r="M162" s="14" t="s">
        <v>91</v>
      </c>
      <c r="N162" s="14" t="s">
        <v>377</v>
      </c>
      <c r="O162" s="14" t="s">
        <v>1044</v>
      </c>
    </row>
    <row r="163" spans="1:15" ht="75" customHeight="1" x14ac:dyDescent="0.25">
      <c r="A163" s="20">
        <v>159</v>
      </c>
      <c r="B163" s="14" t="s">
        <v>1045</v>
      </c>
      <c r="C163" s="14" t="s">
        <v>127</v>
      </c>
      <c r="D163" s="20" t="s">
        <v>85</v>
      </c>
      <c r="E163" s="14" t="s">
        <v>15</v>
      </c>
      <c r="F163" s="14" t="s">
        <v>259</v>
      </c>
      <c r="G163" s="21" t="s">
        <v>10</v>
      </c>
      <c r="H163" s="15">
        <v>0.25</v>
      </c>
      <c r="I163" s="14" t="s">
        <v>372</v>
      </c>
      <c r="J163" s="14" t="s">
        <v>1046</v>
      </c>
      <c r="K163" s="14" t="s">
        <v>485</v>
      </c>
      <c r="L163" s="14" t="s">
        <v>1047</v>
      </c>
      <c r="M163" s="14" t="s">
        <v>91</v>
      </c>
      <c r="N163" s="14" t="s">
        <v>377</v>
      </c>
      <c r="O163" s="14" t="s">
        <v>1048</v>
      </c>
    </row>
    <row r="164" spans="1:15" ht="75" customHeight="1" x14ac:dyDescent="0.25">
      <c r="A164" s="20">
        <v>160</v>
      </c>
      <c r="B164" s="14" t="s">
        <v>1049</v>
      </c>
      <c r="C164" s="14" t="s">
        <v>127</v>
      </c>
      <c r="D164" s="20" t="s">
        <v>85</v>
      </c>
      <c r="E164" s="14" t="s">
        <v>14</v>
      </c>
      <c r="F164" s="14" t="s">
        <v>1050</v>
      </c>
      <c r="G164" s="21" t="s">
        <v>10</v>
      </c>
      <c r="H164" s="15">
        <v>0.25</v>
      </c>
      <c r="I164" s="14" t="s">
        <v>372</v>
      </c>
      <c r="J164" s="14" t="s">
        <v>1051</v>
      </c>
      <c r="K164" s="14" t="s">
        <v>485</v>
      </c>
      <c r="L164" s="14" t="s">
        <v>1052</v>
      </c>
      <c r="M164" s="14" t="s">
        <v>1053</v>
      </c>
      <c r="N164" s="14" t="s">
        <v>377</v>
      </c>
      <c r="O164" s="14" t="s">
        <v>1054</v>
      </c>
    </row>
    <row r="165" spans="1:15" ht="75" customHeight="1" x14ac:dyDescent="0.25">
      <c r="A165" s="20">
        <v>161</v>
      </c>
      <c r="B165" s="14" t="s">
        <v>1055</v>
      </c>
      <c r="C165" s="14" t="s">
        <v>110</v>
      </c>
      <c r="D165" s="20" t="s">
        <v>98</v>
      </c>
      <c r="E165" s="14" t="s">
        <v>16</v>
      </c>
      <c r="F165" s="14" t="s">
        <v>949</v>
      </c>
      <c r="G165" s="21" t="s">
        <v>10</v>
      </c>
      <c r="H165" s="15">
        <v>0.2</v>
      </c>
      <c r="I165" s="14" t="s">
        <v>372</v>
      </c>
      <c r="J165" s="14" t="s">
        <v>1056</v>
      </c>
      <c r="K165" s="14" t="s">
        <v>1057</v>
      </c>
      <c r="L165" s="14" t="s">
        <v>1058</v>
      </c>
      <c r="M165" s="14" t="s">
        <v>91</v>
      </c>
      <c r="N165" s="14" t="s">
        <v>377</v>
      </c>
      <c r="O165" s="14" t="s">
        <v>1059</v>
      </c>
    </row>
    <row r="166" spans="1:15" ht="75" customHeight="1" x14ac:dyDescent="0.25">
      <c r="A166" s="20">
        <v>162</v>
      </c>
      <c r="B166" s="14" t="s">
        <v>1060</v>
      </c>
      <c r="C166" s="14" t="s">
        <v>116</v>
      </c>
      <c r="D166" s="20" t="s">
        <v>85</v>
      </c>
      <c r="E166" s="14" t="s">
        <v>27</v>
      </c>
      <c r="F166" s="14" t="s">
        <v>476</v>
      </c>
      <c r="G166" s="21" t="s">
        <v>10</v>
      </c>
      <c r="H166" s="15">
        <v>0.2</v>
      </c>
      <c r="I166" s="14" t="s">
        <v>372</v>
      </c>
      <c r="J166" s="14" t="s">
        <v>1061</v>
      </c>
      <c r="K166" s="14" t="s">
        <v>371</v>
      </c>
      <c r="L166" s="14" t="s">
        <v>1062</v>
      </c>
      <c r="M166" s="14" t="s">
        <v>91</v>
      </c>
      <c r="N166" s="14" t="s">
        <v>377</v>
      </c>
      <c r="O166" s="14" t="s">
        <v>685</v>
      </c>
    </row>
    <row r="167" spans="1:15" ht="75" customHeight="1" x14ac:dyDescent="0.25">
      <c r="A167" s="20">
        <v>163</v>
      </c>
      <c r="B167" s="14" t="s">
        <v>1063</v>
      </c>
      <c r="C167" s="14" t="s">
        <v>110</v>
      </c>
      <c r="D167" s="20" t="s">
        <v>104</v>
      </c>
      <c r="E167" s="14" t="s">
        <v>32</v>
      </c>
      <c r="F167" s="14" t="s">
        <v>1064</v>
      </c>
      <c r="G167" s="21" t="s">
        <v>10</v>
      </c>
      <c r="H167" s="15">
        <v>0.2</v>
      </c>
      <c r="I167" s="14" t="s">
        <v>372</v>
      </c>
      <c r="J167" s="14" t="s">
        <v>1065</v>
      </c>
      <c r="K167" s="14" t="s">
        <v>1066</v>
      </c>
      <c r="L167" s="14" t="s">
        <v>1067</v>
      </c>
      <c r="M167" s="14" t="s">
        <v>91</v>
      </c>
      <c r="N167" s="14" t="s">
        <v>377</v>
      </c>
      <c r="O167" s="14" t="s">
        <v>1068</v>
      </c>
    </row>
    <row r="168" spans="1:15" ht="75" customHeight="1" x14ac:dyDescent="0.25">
      <c r="A168" s="20">
        <v>164</v>
      </c>
      <c r="B168" s="14" t="s">
        <v>1069</v>
      </c>
      <c r="C168" s="14" t="s">
        <v>110</v>
      </c>
      <c r="D168" s="20" t="s">
        <v>104</v>
      </c>
      <c r="E168" s="14" t="s">
        <v>32</v>
      </c>
      <c r="F168" s="14" t="s">
        <v>908</v>
      </c>
      <c r="G168" s="21" t="s">
        <v>10</v>
      </c>
      <c r="H168" s="15">
        <v>0.2</v>
      </c>
      <c r="I168" s="14" t="s">
        <v>372</v>
      </c>
      <c r="J168" s="14" t="s">
        <v>1070</v>
      </c>
      <c r="K168" s="14" t="s">
        <v>1071</v>
      </c>
      <c r="L168" s="14" t="s">
        <v>1072</v>
      </c>
      <c r="M168" s="14" t="s">
        <v>91</v>
      </c>
      <c r="N168" s="14" t="s">
        <v>377</v>
      </c>
      <c r="O168" s="14" t="s">
        <v>1073</v>
      </c>
    </row>
    <row r="169" spans="1:15" ht="75" customHeight="1" x14ac:dyDescent="0.25">
      <c r="A169" s="20">
        <v>165</v>
      </c>
      <c r="B169" s="14" t="s">
        <v>1074</v>
      </c>
      <c r="C169" s="14" t="s">
        <v>84</v>
      </c>
      <c r="D169" s="20" t="s">
        <v>98</v>
      </c>
      <c r="E169" s="14" t="s">
        <v>16</v>
      </c>
      <c r="F169" s="14" t="s">
        <v>949</v>
      </c>
      <c r="G169" s="21" t="s">
        <v>10</v>
      </c>
      <c r="H169" s="15">
        <v>0.2</v>
      </c>
      <c r="I169" s="14" t="s">
        <v>372</v>
      </c>
      <c r="J169" s="14" t="s">
        <v>1075</v>
      </c>
      <c r="K169" s="14" t="s">
        <v>1076</v>
      </c>
      <c r="L169" s="14" t="s">
        <v>1077</v>
      </c>
      <c r="M169" s="14" t="s">
        <v>91</v>
      </c>
      <c r="N169" s="14" t="s">
        <v>377</v>
      </c>
      <c r="O169" s="14" t="s">
        <v>1078</v>
      </c>
    </row>
    <row r="170" spans="1:15" ht="75" customHeight="1" x14ac:dyDescent="0.25">
      <c r="A170" s="20">
        <v>166</v>
      </c>
      <c r="B170" s="14" t="s">
        <v>1079</v>
      </c>
      <c r="C170" s="14" t="s">
        <v>110</v>
      </c>
      <c r="D170" s="20" t="s">
        <v>98</v>
      </c>
      <c r="E170" s="14" t="s">
        <v>16</v>
      </c>
      <c r="F170" s="14" t="s">
        <v>949</v>
      </c>
      <c r="G170" s="21" t="s">
        <v>10</v>
      </c>
      <c r="H170" s="15">
        <v>0.2</v>
      </c>
      <c r="I170" s="14" t="s">
        <v>372</v>
      </c>
      <c r="J170" s="14" t="s">
        <v>1080</v>
      </c>
      <c r="K170" s="14" t="s">
        <v>1081</v>
      </c>
      <c r="L170" s="14" t="s">
        <v>1082</v>
      </c>
      <c r="M170" s="14" t="s">
        <v>91</v>
      </c>
      <c r="N170" s="14" t="s">
        <v>377</v>
      </c>
      <c r="O170" s="14" t="s">
        <v>1083</v>
      </c>
    </row>
    <row r="171" spans="1:15" ht="75" customHeight="1" x14ac:dyDescent="0.25">
      <c r="A171" s="20">
        <v>167</v>
      </c>
      <c r="B171" s="14" t="s">
        <v>1084</v>
      </c>
      <c r="C171" s="14" t="s">
        <v>110</v>
      </c>
      <c r="D171" s="20" t="s">
        <v>98</v>
      </c>
      <c r="E171" s="14" t="s">
        <v>16</v>
      </c>
      <c r="F171" s="14" t="s">
        <v>1085</v>
      </c>
      <c r="G171" s="21" t="s">
        <v>10</v>
      </c>
      <c r="H171" s="15">
        <v>0.15</v>
      </c>
      <c r="I171" s="14" t="s">
        <v>372</v>
      </c>
      <c r="J171" s="14" t="s">
        <v>1086</v>
      </c>
      <c r="K171" s="14" t="s">
        <v>1087</v>
      </c>
      <c r="L171" s="14" t="s">
        <v>1088</v>
      </c>
      <c r="M171" s="14" t="s">
        <v>91</v>
      </c>
      <c r="N171" s="14" t="s">
        <v>377</v>
      </c>
      <c r="O171" s="14" t="s">
        <v>1089</v>
      </c>
    </row>
    <row r="172" spans="1:15" ht="75" customHeight="1" x14ac:dyDescent="0.25">
      <c r="A172" s="20">
        <v>168</v>
      </c>
      <c r="B172" s="14" t="s">
        <v>1090</v>
      </c>
      <c r="C172" s="14" t="s">
        <v>110</v>
      </c>
      <c r="D172" s="20" t="s">
        <v>98</v>
      </c>
      <c r="E172" s="14" t="s">
        <v>16</v>
      </c>
      <c r="F172" s="14" t="s">
        <v>1091</v>
      </c>
      <c r="G172" s="21" t="s">
        <v>10</v>
      </c>
      <c r="H172" s="15">
        <v>0.15</v>
      </c>
      <c r="I172" s="14" t="s">
        <v>372</v>
      </c>
      <c r="J172" s="14" t="s">
        <v>1092</v>
      </c>
      <c r="K172" s="14" t="s">
        <v>1093</v>
      </c>
      <c r="L172" s="14" t="s">
        <v>1094</v>
      </c>
      <c r="M172" s="14" t="s">
        <v>91</v>
      </c>
      <c r="N172" s="14" t="s">
        <v>377</v>
      </c>
      <c r="O172" s="14" t="s">
        <v>1095</v>
      </c>
    </row>
    <row r="173" spans="1:15" ht="75" customHeight="1" x14ac:dyDescent="0.25">
      <c r="A173" s="20">
        <v>169</v>
      </c>
      <c r="B173" s="14" t="s">
        <v>1096</v>
      </c>
      <c r="C173" s="14" t="s">
        <v>110</v>
      </c>
      <c r="D173" s="20" t="s">
        <v>98</v>
      </c>
      <c r="E173" s="14" t="s">
        <v>16</v>
      </c>
      <c r="F173" s="14" t="s">
        <v>879</v>
      </c>
      <c r="G173" s="21" t="s">
        <v>10</v>
      </c>
      <c r="H173" s="15">
        <v>0.15</v>
      </c>
      <c r="I173" s="14" t="s">
        <v>372</v>
      </c>
      <c r="J173" s="14" t="s">
        <v>1097</v>
      </c>
      <c r="K173" s="14" t="s">
        <v>1098</v>
      </c>
      <c r="L173" s="14" t="s">
        <v>1099</v>
      </c>
      <c r="M173" s="14" t="s">
        <v>91</v>
      </c>
      <c r="N173" s="14" t="s">
        <v>377</v>
      </c>
      <c r="O173" s="14" t="s">
        <v>1100</v>
      </c>
    </row>
    <row r="174" spans="1:15" ht="75" customHeight="1" x14ac:dyDescent="0.25">
      <c r="A174" s="20">
        <v>170</v>
      </c>
      <c r="B174" s="14" t="s">
        <v>1101</v>
      </c>
      <c r="C174" s="14" t="s">
        <v>110</v>
      </c>
      <c r="D174" s="20" t="s">
        <v>98</v>
      </c>
      <c r="E174" s="14" t="s">
        <v>16</v>
      </c>
      <c r="F174" s="14" t="s">
        <v>1102</v>
      </c>
      <c r="G174" s="21" t="s">
        <v>10</v>
      </c>
      <c r="H174" s="15">
        <v>0.15</v>
      </c>
      <c r="I174" s="14" t="s">
        <v>372</v>
      </c>
      <c r="J174" s="14" t="s">
        <v>1103</v>
      </c>
      <c r="K174" s="14" t="s">
        <v>1104</v>
      </c>
      <c r="L174" s="14" t="s">
        <v>1105</v>
      </c>
      <c r="M174" s="14" t="s">
        <v>91</v>
      </c>
      <c r="N174" s="14" t="s">
        <v>377</v>
      </c>
      <c r="O174" s="14" t="s">
        <v>1106</v>
      </c>
    </row>
    <row r="175" spans="1:15" ht="66" customHeight="1" x14ac:dyDescent="0.25">
      <c r="A175" s="20">
        <v>171</v>
      </c>
      <c r="B175" s="14" t="s">
        <v>1107</v>
      </c>
      <c r="C175" s="14" t="s">
        <v>116</v>
      </c>
      <c r="D175" s="20" t="s">
        <v>85</v>
      </c>
      <c r="E175" s="14" t="s">
        <v>27</v>
      </c>
      <c r="F175" s="14" t="s">
        <v>1108</v>
      </c>
      <c r="G175" s="21" t="s">
        <v>10</v>
      </c>
      <c r="H175" s="15">
        <v>0.15</v>
      </c>
      <c r="I175" s="14" t="s">
        <v>87</v>
      </c>
      <c r="J175" s="14" t="s">
        <v>1109</v>
      </c>
      <c r="K175" s="14" t="s">
        <v>1110</v>
      </c>
      <c r="L175" s="14" t="s">
        <v>1111</v>
      </c>
      <c r="M175" s="14" t="s">
        <v>91</v>
      </c>
      <c r="N175" s="14" t="s">
        <v>377</v>
      </c>
      <c r="O175" s="14" t="s">
        <v>1112</v>
      </c>
    </row>
    <row r="176" spans="1:15" ht="78" customHeight="1" x14ac:dyDescent="0.25">
      <c r="A176" s="20">
        <v>172</v>
      </c>
      <c r="B176" s="14" t="s">
        <v>1113</v>
      </c>
      <c r="C176" s="14" t="s">
        <v>84</v>
      </c>
      <c r="D176" s="20" t="s">
        <v>85</v>
      </c>
      <c r="E176" s="14" t="s">
        <v>39</v>
      </c>
      <c r="F176" s="14" t="s">
        <v>1114</v>
      </c>
      <c r="G176" s="21" t="s">
        <v>10</v>
      </c>
      <c r="H176" s="15">
        <v>0.15</v>
      </c>
      <c r="I176" s="14" t="s">
        <v>87</v>
      </c>
      <c r="J176" s="14" t="s">
        <v>1115</v>
      </c>
      <c r="K176" s="14" t="s">
        <v>1116</v>
      </c>
      <c r="L176" s="14" t="s">
        <v>1117</v>
      </c>
      <c r="M176" s="14" t="s">
        <v>91</v>
      </c>
      <c r="N176" s="14" t="s">
        <v>377</v>
      </c>
      <c r="O176" s="14" t="s">
        <v>1118</v>
      </c>
    </row>
    <row r="177" spans="1:15" ht="75" customHeight="1" x14ac:dyDescent="0.25">
      <c r="A177" s="20">
        <v>173</v>
      </c>
      <c r="B177" s="14" t="s">
        <v>1119</v>
      </c>
      <c r="C177" s="14" t="s">
        <v>116</v>
      </c>
      <c r="D177" s="20" t="s">
        <v>85</v>
      </c>
      <c r="E177" s="14" t="s">
        <v>27</v>
      </c>
      <c r="F177" s="14" t="s">
        <v>1120</v>
      </c>
      <c r="G177" s="21" t="s">
        <v>10</v>
      </c>
      <c r="H177" s="15">
        <v>0.15</v>
      </c>
      <c r="I177" s="14" t="s">
        <v>372</v>
      </c>
      <c r="J177" s="14" t="s">
        <v>1121</v>
      </c>
      <c r="K177" s="14" t="s">
        <v>1122</v>
      </c>
      <c r="L177" s="14" t="s">
        <v>1123</v>
      </c>
      <c r="M177" s="14" t="s">
        <v>91</v>
      </c>
      <c r="N177" s="14" t="s">
        <v>377</v>
      </c>
      <c r="O177" s="14" t="s">
        <v>1124</v>
      </c>
    </row>
    <row r="178" spans="1:15" ht="75" customHeight="1" x14ac:dyDescent="0.25">
      <c r="A178" s="20">
        <v>174</v>
      </c>
      <c r="B178" s="14" t="s">
        <v>1125</v>
      </c>
      <c r="C178" s="14" t="s">
        <v>110</v>
      </c>
      <c r="D178" s="20" t="s">
        <v>98</v>
      </c>
      <c r="E178" s="14" t="s">
        <v>16</v>
      </c>
      <c r="F178" s="14" t="s">
        <v>1126</v>
      </c>
      <c r="G178" s="21" t="s">
        <v>10</v>
      </c>
      <c r="H178" s="15">
        <v>0.15</v>
      </c>
      <c r="I178" s="14" t="s">
        <v>372</v>
      </c>
      <c r="J178" s="14" t="s">
        <v>1127</v>
      </c>
      <c r="K178" s="14" t="s">
        <v>1128</v>
      </c>
      <c r="L178" s="14" t="s">
        <v>1129</v>
      </c>
      <c r="M178" s="14" t="s">
        <v>91</v>
      </c>
      <c r="N178" s="14" t="s">
        <v>377</v>
      </c>
      <c r="O178" s="14" t="s">
        <v>1130</v>
      </c>
    </row>
    <row r="179" spans="1:15" ht="75" customHeight="1" x14ac:dyDescent="0.25">
      <c r="A179" s="20">
        <v>175</v>
      </c>
      <c r="B179" s="14" t="s">
        <v>1131</v>
      </c>
      <c r="C179" s="14" t="s">
        <v>127</v>
      </c>
      <c r="D179" s="20" t="s">
        <v>85</v>
      </c>
      <c r="E179" s="14" t="s">
        <v>27</v>
      </c>
      <c r="F179" s="14" t="s">
        <v>1132</v>
      </c>
      <c r="G179" s="21" t="s">
        <v>10</v>
      </c>
      <c r="H179" s="15">
        <v>0.15</v>
      </c>
      <c r="I179" s="14" t="s">
        <v>372</v>
      </c>
      <c r="J179" s="14" t="s">
        <v>1133</v>
      </c>
      <c r="K179" s="14" t="s">
        <v>1134</v>
      </c>
      <c r="L179" s="14" t="s">
        <v>1135</v>
      </c>
      <c r="M179" s="14" t="s">
        <v>91</v>
      </c>
      <c r="N179" s="14" t="s">
        <v>377</v>
      </c>
      <c r="O179" s="14" t="s">
        <v>1136</v>
      </c>
    </row>
    <row r="180" spans="1:15" ht="75" customHeight="1" x14ac:dyDescent="0.25">
      <c r="A180" s="20">
        <v>176</v>
      </c>
      <c r="B180" s="14" t="s">
        <v>1137</v>
      </c>
      <c r="C180" s="14" t="s">
        <v>110</v>
      </c>
      <c r="D180" s="20" t="s">
        <v>98</v>
      </c>
      <c r="E180" s="14" t="s">
        <v>16</v>
      </c>
      <c r="F180" s="14" t="s">
        <v>1138</v>
      </c>
      <c r="G180" s="21" t="s">
        <v>10</v>
      </c>
      <c r="H180" s="15">
        <v>0.15</v>
      </c>
      <c r="I180" s="14" t="s">
        <v>425</v>
      </c>
      <c r="J180" s="14" t="s">
        <v>1139</v>
      </c>
      <c r="K180" s="14" t="s">
        <v>1140</v>
      </c>
      <c r="L180" s="14" t="s">
        <v>1141</v>
      </c>
      <c r="M180" s="14" t="s">
        <v>91</v>
      </c>
      <c r="N180" s="14" t="s">
        <v>377</v>
      </c>
      <c r="O180" s="14" t="s">
        <v>1142</v>
      </c>
    </row>
    <row r="181" spans="1:15" ht="75" customHeight="1" x14ac:dyDescent="0.25">
      <c r="A181" s="20">
        <v>177</v>
      </c>
      <c r="B181" s="14" t="s">
        <v>1143</v>
      </c>
      <c r="C181" s="14" t="s">
        <v>110</v>
      </c>
      <c r="D181" s="20" t="s">
        <v>98</v>
      </c>
      <c r="E181" s="14" t="s">
        <v>16</v>
      </c>
      <c r="F181" s="14" t="s">
        <v>1144</v>
      </c>
      <c r="G181" s="21" t="s">
        <v>10</v>
      </c>
      <c r="H181" s="15">
        <v>0.15</v>
      </c>
      <c r="I181" s="14" t="s">
        <v>372</v>
      </c>
      <c r="J181" s="14" t="s">
        <v>1145</v>
      </c>
      <c r="K181" s="14" t="s">
        <v>1146</v>
      </c>
      <c r="L181" s="14" t="s">
        <v>1147</v>
      </c>
      <c r="M181" s="14" t="s">
        <v>1148</v>
      </c>
      <c r="N181" s="14" t="s">
        <v>377</v>
      </c>
      <c r="O181" s="14" t="s">
        <v>1149</v>
      </c>
    </row>
    <row r="182" spans="1:15" ht="75" customHeight="1" x14ac:dyDescent="0.25">
      <c r="A182" s="20">
        <v>178</v>
      </c>
      <c r="B182" s="14" t="s">
        <v>1150</v>
      </c>
      <c r="C182" s="14" t="s">
        <v>110</v>
      </c>
      <c r="D182" s="20" t="s">
        <v>85</v>
      </c>
      <c r="E182" s="14" t="s">
        <v>27</v>
      </c>
      <c r="F182" s="14" t="s">
        <v>1151</v>
      </c>
      <c r="G182" s="21" t="s">
        <v>10</v>
      </c>
      <c r="H182" s="15">
        <v>0.1</v>
      </c>
      <c r="I182" s="14" t="s">
        <v>425</v>
      </c>
      <c r="J182" s="14" t="s">
        <v>1152</v>
      </c>
      <c r="K182" s="14" t="s">
        <v>1153</v>
      </c>
      <c r="L182" s="14" t="s">
        <v>1154</v>
      </c>
      <c r="M182" s="14" t="s">
        <v>91</v>
      </c>
      <c r="N182" s="14" t="s">
        <v>377</v>
      </c>
      <c r="O182" s="14" t="s">
        <v>1155</v>
      </c>
    </row>
    <row r="183" spans="1:15" ht="75" customHeight="1" x14ac:dyDescent="0.25">
      <c r="A183" s="20">
        <v>179</v>
      </c>
      <c r="B183" s="14" t="s">
        <v>1156</v>
      </c>
      <c r="C183" s="14" t="s">
        <v>110</v>
      </c>
      <c r="D183" s="20" t="s">
        <v>85</v>
      </c>
      <c r="E183" s="14" t="s">
        <v>27</v>
      </c>
      <c r="F183" s="14" t="s">
        <v>1157</v>
      </c>
      <c r="G183" s="21" t="s">
        <v>10</v>
      </c>
      <c r="H183" s="15">
        <v>0.1</v>
      </c>
      <c r="I183" s="14" t="s">
        <v>372</v>
      </c>
      <c r="J183" s="14" t="s">
        <v>1158</v>
      </c>
      <c r="K183" s="14" t="s">
        <v>371</v>
      </c>
      <c r="L183" s="14" t="s">
        <v>917</v>
      </c>
      <c r="M183" s="14" t="s">
        <v>91</v>
      </c>
      <c r="N183" s="14" t="s">
        <v>377</v>
      </c>
      <c r="O183" s="14" t="s">
        <v>467</v>
      </c>
    </row>
    <row r="184" spans="1:15" ht="75" customHeight="1" x14ac:dyDescent="0.25">
      <c r="A184" s="20">
        <v>180</v>
      </c>
      <c r="B184" s="14" t="s">
        <v>1159</v>
      </c>
      <c r="C184" s="14" t="s">
        <v>110</v>
      </c>
      <c r="D184" s="20" t="s">
        <v>98</v>
      </c>
      <c r="E184" s="14" t="s">
        <v>16</v>
      </c>
      <c r="F184" s="14" t="s">
        <v>1160</v>
      </c>
      <c r="G184" s="21" t="s">
        <v>10</v>
      </c>
      <c r="H184" s="15">
        <v>0.1</v>
      </c>
      <c r="I184" s="14" t="s">
        <v>372</v>
      </c>
      <c r="J184" s="14" t="s">
        <v>1161</v>
      </c>
      <c r="K184" s="14" t="s">
        <v>1162</v>
      </c>
      <c r="L184" s="14" t="s">
        <v>1163</v>
      </c>
      <c r="M184" s="14" t="s">
        <v>91</v>
      </c>
      <c r="N184" s="14" t="s">
        <v>377</v>
      </c>
      <c r="O184" s="14" t="s">
        <v>1164</v>
      </c>
    </row>
    <row r="185" spans="1:15" ht="75" customHeight="1" x14ac:dyDescent="0.25">
      <c r="A185" s="20">
        <v>181</v>
      </c>
      <c r="B185" s="14" t="s">
        <v>1165</v>
      </c>
      <c r="C185" s="14" t="s">
        <v>116</v>
      </c>
      <c r="D185" s="20" t="s">
        <v>85</v>
      </c>
      <c r="E185" s="14" t="s">
        <v>39</v>
      </c>
      <c r="F185" s="14" t="s">
        <v>1166</v>
      </c>
      <c r="G185" s="21" t="s">
        <v>10</v>
      </c>
      <c r="H185" s="15">
        <v>0.1</v>
      </c>
      <c r="I185" s="14" t="s">
        <v>372</v>
      </c>
      <c r="J185" s="14" t="s">
        <v>1167</v>
      </c>
      <c r="K185" s="14" t="s">
        <v>1168</v>
      </c>
      <c r="L185" s="14" t="s">
        <v>1169</v>
      </c>
      <c r="M185" s="14" t="s">
        <v>1170</v>
      </c>
      <c r="N185" s="14" t="s">
        <v>377</v>
      </c>
      <c r="O185" s="14" t="s">
        <v>685</v>
      </c>
    </row>
    <row r="186" spans="1:15" ht="75" customHeight="1" x14ac:dyDescent="0.25">
      <c r="A186" s="20">
        <v>182</v>
      </c>
      <c r="B186" s="14" t="s">
        <v>1171</v>
      </c>
      <c r="C186" s="14" t="s">
        <v>127</v>
      </c>
      <c r="D186" s="20" t="s">
        <v>85</v>
      </c>
      <c r="E186" s="14" t="s">
        <v>15</v>
      </c>
      <c r="F186" s="14" t="s">
        <v>1172</v>
      </c>
      <c r="G186" s="21" t="s">
        <v>10</v>
      </c>
      <c r="H186" s="15">
        <v>0.1</v>
      </c>
      <c r="I186" s="14" t="s">
        <v>372</v>
      </c>
      <c r="J186" s="14" t="s">
        <v>1173</v>
      </c>
      <c r="K186" s="14" t="s">
        <v>485</v>
      </c>
      <c r="L186" s="14" t="s">
        <v>1174</v>
      </c>
      <c r="M186" s="14" t="s">
        <v>1175</v>
      </c>
      <c r="N186" s="14" t="s">
        <v>377</v>
      </c>
      <c r="O186" s="14" t="s">
        <v>1176</v>
      </c>
    </row>
    <row r="187" spans="1:15" ht="75" customHeight="1" x14ac:dyDescent="0.25">
      <c r="A187" s="20">
        <v>183</v>
      </c>
      <c r="B187" s="14" t="s">
        <v>1177</v>
      </c>
      <c r="C187" s="14" t="s">
        <v>116</v>
      </c>
      <c r="D187" s="20" t="s">
        <v>85</v>
      </c>
      <c r="E187" s="14" t="s">
        <v>14</v>
      </c>
      <c r="F187" s="14" t="s">
        <v>1178</v>
      </c>
      <c r="G187" s="21" t="s">
        <v>10</v>
      </c>
      <c r="H187" s="15">
        <v>0.1</v>
      </c>
      <c r="I187" s="14" t="s">
        <v>372</v>
      </c>
      <c r="J187" s="14" t="s">
        <v>1179</v>
      </c>
      <c r="K187" s="14" t="s">
        <v>1180</v>
      </c>
      <c r="L187" s="14" t="s">
        <v>1181</v>
      </c>
      <c r="M187" s="14" t="s">
        <v>1182</v>
      </c>
      <c r="N187" s="14" t="s">
        <v>377</v>
      </c>
      <c r="O187" s="14" t="s">
        <v>1183</v>
      </c>
    </row>
    <row r="188" spans="1:15" ht="75" customHeight="1" x14ac:dyDescent="0.25">
      <c r="A188" s="20">
        <v>184</v>
      </c>
      <c r="B188" s="14" t="s">
        <v>1184</v>
      </c>
      <c r="C188" s="14" t="s">
        <v>127</v>
      </c>
      <c r="D188" s="20" t="s">
        <v>85</v>
      </c>
      <c r="E188" s="14" t="s">
        <v>15</v>
      </c>
      <c r="F188" s="14" t="s">
        <v>259</v>
      </c>
      <c r="G188" s="21" t="s">
        <v>10</v>
      </c>
      <c r="H188" s="15">
        <v>0.1</v>
      </c>
      <c r="I188" s="14" t="s">
        <v>372</v>
      </c>
      <c r="J188" s="14" t="s">
        <v>1185</v>
      </c>
      <c r="K188" s="14" t="s">
        <v>371</v>
      </c>
      <c r="L188" s="14" t="s">
        <v>1186</v>
      </c>
      <c r="M188" s="14" t="s">
        <v>91</v>
      </c>
      <c r="N188" s="14" t="s">
        <v>377</v>
      </c>
      <c r="O188" s="14" t="s">
        <v>1187</v>
      </c>
    </row>
    <row r="189" spans="1:15" ht="75" customHeight="1" x14ac:dyDescent="0.25">
      <c r="A189" s="20">
        <v>185</v>
      </c>
      <c r="B189" s="14" t="s">
        <v>1188</v>
      </c>
      <c r="C189" s="14" t="s">
        <v>110</v>
      </c>
      <c r="D189" s="20" t="s">
        <v>104</v>
      </c>
      <c r="E189" s="14" t="s">
        <v>32</v>
      </c>
      <c r="F189" s="14" t="s">
        <v>1189</v>
      </c>
      <c r="G189" s="21" t="s">
        <v>10</v>
      </c>
      <c r="H189" s="15">
        <v>0.1</v>
      </c>
      <c r="I189" s="14" t="s">
        <v>372</v>
      </c>
      <c r="J189" s="14" t="s">
        <v>1190</v>
      </c>
      <c r="K189" s="14" t="s">
        <v>1191</v>
      </c>
      <c r="L189" s="14" t="s">
        <v>1192</v>
      </c>
      <c r="M189" s="14" t="s">
        <v>91</v>
      </c>
      <c r="N189" s="14" t="s">
        <v>377</v>
      </c>
      <c r="O189" s="14" t="s">
        <v>1193</v>
      </c>
    </row>
    <row r="190" spans="1:15" ht="75" customHeight="1" x14ac:dyDescent="0.25">
      <c r="A190" s="20">
        <v>186</v>
      </c>
      <c r="B190" s="14" t="s">
        <v>1194</v>
      </c>
      <c r="C190" s="14" t="s">
        <v>116</v>
      </c>
      <c r="D190" s="20" t="s">
        <v>85</v>
      </c>
      <c r="E190" s="14" t="s">
        <v>687</v>
      </c>
      <c r="F190" s="14" t="s">
        <v>1195</v>
      </c>
      <c r="G190" s="21" t="s">
        <v>10</v>
      </c>
      <c r="H190" s="15">
        <v>0.1</v>
      </c>
      <c r="I190" s="14" t="s">
        <v>372</v>
      </c>
      <c r="J190" s="14" t="s">
        <v>1196</v>
      </c>
      <c r="K190" s="14" t="s">
        <v>1197</v>
      </c>
      <c r="L190" s="14" t="s">
        <v>1198</v>
      </c>
      <c r="M190" s="14" t="s">
        <v>91</v>
      </c>
      <c r="N190" s="14" t="s">
        <v>377</v>
      </c>
      <c r="O190" s="14" t="s">
        <v>1199</v>
      </c>
    </row>
    <row r="191" spans="1:15" ht="75" customHeight="1" x14ac:dyDescent="0.25">
      <c r="A191" s="20">
        <v>187</v>
      </c>
      <c r="B191" s="14" t="s">
        <v>1200</v>
      </c>
      <c r="C191" s="14" t="s">
        <v>127</v>
      </c>
      <c r="D191" s="20" t="s">
        <v>85</v>
      </c>
      <c r="E191" s="14" t="s">
        <v>14</v>
      </c>
      <c r="F191" s="14" t="s">
        <v>1178</v>
      </c>
      <c r="G191" s="21" t="s">
        <v>10</v>
      </c>
      <c r="H191" s="15">
        <v>0.1</v>
      </c>
      <c r="I191" s="14" t="s">
        <v>372</v>
      </c>
      <c r="J191" s="14" t="s">
        <v>1201</v>
      </c>
      <c r="K191" s="14" t="s">
        <v>1202</v>
      </c>
      <c r="L191" s="14" t="s">
        <v>1203</v>
      </c>
      <c r="M191" s="14" t="s">
        <v>91</v>
      </c>
      <c r="N191" s="14" t="s">
        <v>377</v>
      </c>
      <c r="O191" s="14" t="s">
        <v>1204</v>
      </c>
    </row>
    <row r="192" spans="1:15" ht="75" customHeight="1" x14ac:dyDescent="0.25">
      <c r="A192" s="20">
        <v>188</v>
      </c>
      <c r="B192" s="14" t="s">
        <v>1205</v>
      </c>
      <c r="C192" s="14" t="s">
        <v>110</v>
      </c>
      <c r="D192" s="20" t="s">
        <v>98</v>
      </c>
      <c r="E192" s="14" t="s">
        <v>16</v>
      </c>
      <c r="F192" s="14" t="s">
        <v>949</v>
      </c>
      <c r="G192" s="21" t="s">
        <v>10</v>
      </c>
      <c r="H192" s="15">
        <v>0.1</v>
      </c>
      <c r="I192" s="14" t="s">
        <v>372</v>
      </c>
      <c r="J192" s="14" t="s">
        <v>1206</v>
      </c>
      <c r="K192" s="14" t="s">
        <v>1207</v>
      </c>
      <c r="L192" s="14" t="s">
        <v>1208</v>
      </c>
      <c r="M192" s="14" t="s">
        <v>91</v>
      </c>
      <c r="N192" s="14" t="s">
        <v>377</v>
      </c>
      <c r="O192" s="14" t="s">
        <v>1209</v>
      </c>
    </row>
    <row r="193" spans="1:15" ht="75" customHeight="1" x14ac:dyDescent="0.25">
      <c r="A193" s="20">
        <v>189</v>
      </c>
      <c r="B193" s="14" t="s">
        <v>1210</v>
      </c>
      <c r="C193" s="14" t="s">
        <v>116</v>
      </c>
      <c r="D193" s="20" t="s">
        <v>85</v>
      </c>
      <c r="E193" s="14" t="s">
        <v>27</v>
      </c>
      <c r="F193" s="14" t="s">
        <v>1211</v>
      </c>
      <c r="G193" s="21" t="s">
        <v>10</v>
      </c>
      <c r="H193" s="15">
        <v>0.05</v>
      </c>
      <c r="I193" s="14" t="s">
        <v>372</v>
      </c>
      <c r="J193" s="14" t="s">
        <v>1212</v>
      </c>
      <c r="K193" s="14" t="s">
        <v>1213</v>
      </c>
      <c r="L193" s="14" t="s">
        <v>1214</v>
      </c>
      <c r="M193" s="14" t="s">
        <v>91</v>
      </c>
      <c r="N193" s="14" t="s">
        <v>377</v>
      </c>
      <c r="O193" s="14" t="s">
        <v>685</v>
      </c>
    </row>
    <row r="194" spans="1:15" ht="75" customHeight="1" x14ac:dyDescent="0.25">
      <c r="A194" s="20">
        <v>190</v>
      </c>
      <c r="B194" s="14" t="s">
        <v>1215</v>
      </c>
      <c r="C194" s="14" t="s">
        <v>127</v>
      </c>
      <c r="D194" s="20" t="s">
        <v>104</v>
      </c>
      <c r="E194" s="14" t="s">
        <v>32</v>
      </c>
      <c r="F194" s="14" t="s">
        <v>1216</v>
      </c>
      <c r="G194" s="21" t="s">
        <v>10</v>
      </c>
      <c r="H194" s="15">
        <v>0.05</v>
      </c>
      <c r="I194" s="14" t="s">
        <v>372</v>
      </c>
      <c r="J194" s="14" t="s">
        <v>1217</v>
      </c>
      <c r="K194" s="14" t="s">
        <v>1218</v>
      </c>
      <c r="L194" s="14" t="s">
        <v>1219</v>
      </c>
      <c r="M194" s="14" t="s">
        <v>91</v>
      </c>
      <c r="N194" s="14" t="s">
        <v>377</v>
      </c>
      <c r="O194" s="14" t="s">
        <v>1220</v>
      </c>
    </row>
    <row r="195" spans="1:15" ht="75" customHeight="1" x14ac:dyDescent="0.25">
      <c r="A195" s="20">
        <v>191</v>
      </c>
      <c r="B195" s="14" t="s">
        <v>1221</v>
      </c>
      <c r="C195" s="14" t="s">
        <v>1222</v>
      </c>
      <c r="D195" s="20" t="s">
        <v>85</v>
      </c>
      <c r="E195" s="14" t="s">
        <v>15</v>
      </c>
      <c r="F195" s="14" t="s">
        <v>1223</v>
      </c>
      <c r="G195" s="21" t="s">
        <v>10</v>
      </c>
      <c r="H195" s="15">
        <v>0.05</v>
      </c>
      <c r="I195" s="14" t="s">
        <v>372</v>
      </c>
      <c r="J195" s="14" t="s">
        <v>1224</v>
      </c>
      <c r="K195" s="14" t="s">
        <v>1225</v>
      </c>
      <c r="L195" s="14" t="s">
        <v>1226</v>
      </c>
      <c r="M195" s="14" t="s">
        <v>1227</v>
      </c>
      <c r="N195" s="14" t="s">
        <v>377</v>
      </c>
      <c r="O195" s="14" t="s">
        <v>1228</v>
      </c>
    </row>
    <row r="196" spans="1:15" ht="75" customHeight="1" x14ac:dyDescent="0.25">
      <c r="A196" s="20">
        <v>192</v>
      </c>
      <c r="B196" s="14" t="s">
        <v>1229</v>
      </c>
      <c r="C196" s="14" t="s">
        <v>116</v>
      </c>
      <c r="D196" s="20" t="s">
        <v>85</v>
      </c>
      <c r="E196" s="14" t="s">
        <v>15</v>
      </c>
      <c r="F196" s="14" t="s">
        <v>1230</v>
      </c>
      <c r="G196" s="21" t="s">
        <v>10</v>
      </c>
      <c r="H196" s="15">
        <v>0.02</v>
      </c>
      <c r="I196" s="14" t="s">
        <v>372</v>
      </c>
      <c r="J196" s="14" t="s">
        <v>1231</v>
      </c>
      <c r="K196" s="14" t="s">
        <v>1232</v>
      </c>
      <c r="L196" s="14" t="s">
        <v>1233</v>
      </c>
      <c r="M196" s="14" t="s">
        <v>1234</v>
      </c>
      <c r="N196" s="14" t="s">
        <v>377</v>
      </c>
      <c r="O196" s="14" t="s">
        <v>1235</v>
      </c>
    </row>
    <row r="197" spans="1:15" ht="75" customHeight="1" x14ac:dyDescent="0.25">
      <c r="A197" s="20">
        <v>193</v>
      </c>
      <c r="B197" s="14" t="s">
        <v>1236</v>
      </c>
      <c r="C197" s="14" t="s">
        <v>127</v>
      </c>
      <c r="D197" s="20" t="s">
        <v>85</v>
      </c>
      <c r="E197" s="14" t="s">
        <v>27</v>
      </c>
      <c r="F197" s="14" t="s">
        <v>1237</v>
      </c>
      <c r="G197" s="21" t="s">
        <v>10</v>
      </c>
      <c r="H197" s="15">
        <v>0</v>
      </c>
      <c r="I197" s="14" t="s">
        <v>372</v>
      </c>
      <c r="J197" s="14" t="s">
        <v>1238</v>
      </c>
      <c r="K197" s="14" t="s">
        <v>1239</v>
      </c>
      <c r="L197" s="14" t="s">
        <v>1240</v>
      </c>
      <c r="M197" s="14" t="s">
        <v>91</v>
      </c>
      <c r="N197" s="14" t="s">
        <v>377</v>
      </c>
      <c r="O197" s="14" t="s">
        <v>1241</v>
      </c>
    </row>
    <row r="198" spans="1:15" ht="75" customHeight="1" x14ac:dyDescent="0.25">
      <c r="A198" s="20">
        <v>194</v>
      </c>
      <c r="B198" s="14" t="s">
        <v>1242</v>
      </c>
      <c r="C198" s="14" t="s">
        <v>84</v>
      </c>
      <c r="D198" s="20" t="s">
        <v>104</v>
      </c>
      <c r="E198" s="14" t="s">
        <v>32</v>
      </c>
      <c r="F198" s="14" t="s">
        <v>1243</v>
      </c>
      <c r="G198" s="21" t="s">
        <v>10</v>
      </c>
      <c r="H198" s="15">
        <v>0</v>
      </c>
      <c r="I198" s="14" t="s">
        <v>425</v>
      </c>
      <c r="J198" s="14" t="s">
        <v>1244</v>
      </c>
      <c r="K198" s="14" t="s">
        <v>1245</v>
      </c>
      <c r="L198" s="14" t="s">
        <v>1246</v>
      </c>
      <c r="M198" s="14" t="s">
        <v>91</v>
      </c>
      <c r="N198" s="14" t="s">
        <v>377</v>
      </c>
      <c r="O198" s="14" t="s">
        <v>1247</v>
      </c>
    </row>
  </sheetData>
  <autoFilter ref="A4:O198" xr:uid="{00000000-0009-0000-0000-000001000000}"/>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36"/>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1248</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90" customHeight="1" x14ac:dyDescent="0.25">
      <c r="A5" s="20">
        <v>1</v>
      </c>
      <c r="B5" s="14" t="s">
        <v>59</v>
      </c>
      <c r="C5" s="14" t="s">
        <v>110</v>
      </c>
      <c r="D5" s="20" t="s">
        <v>85</v>
      </c>
      <c r="E5" s="14" t="s">
        <v>14</v>
      </c>
      <c r="F5" s="14" t="s">
        <v>173</v>
      </c>
      <c r="G5" s="17" t="s">
        <v>8</v>
      </c>
      <c r="H5" s="15">
        <v>0.5</v>
      </c>
      <c r="I5" s="14" t="s">
        <v>87</v>
      </c>
      <c r="J5" s="14" t="s">
        <v>174</v>
      </c>
      <c r="K5" s="14" t="s">
        <v>175</v>
      </c>
      <c r="L5" s="14" t="s">
        <v>176</v>
      </c>
      <c r="M5" s="14" t="s">
        <v>91</v>
      </c>
      <c r="N5" s="14" t="s">
        <v>60</v>
      </c>
      <c r="O5" s="14" t="s">
        <v>177</v>
      </c>
    </row>
    <row r="6" spans="1:15" ht="90" customHeight="1" x14ac:dyDescent="0.25">
      <c r="A6" s="20">
        <v>2</v>
      </c>
      <c r="B6" s="14" t="s">
        <v>195</v>
      </c>
      <c r="C6" s="14" t="s">
        <v>127</v>
      </c>
      <c r="D6" s="20" t="s">
        <v>85</v>
      </c>
      <c r="E6" s="14" t="s">
        <v>14</v>
      </c>
      <c r="F6" s="14" t="s">
        <v>196</v>
      </c>
      <c r="G6" s="17" t="s">
        <v>8</v>
      </c>
      <c r="H6" s="15">
        <v>0.5</v>
      </c>
      <c r="I6" s="14" t="s">
        <v>87</v>
      </c>
      <c r="J6" s="14" t="s">
        <v>197</v>
      </c>
      <c r="K6" s="14" t="s">
        <v>198</v>
      </c>
      <c r="L6" s="14" t="s">
        <v>199</v>
      </c>
      <c r="M6" s="14" t="s">
        <v>91</v>
      </c>
      <c r="N6" s="14" t="s">
        <v>200</v>
      </c>
      <c r="O6" s="14" t="s">
        <v>201</v>
      </c>
    </row>
    <row r="7" spans="1:15" ht="66" customHeight="1" x14ac:dyDescent="0.25">
      <c r="A7" s="20">
        <v>3</v>
      </c>
      <c r="B7" s="14" t="s">
        <v>237</v>
      </c>
      <c r="C7" s="14" t="s">
        <v>127</v>
      </c>
      <c r="D7" s="20" t="s">
        <v>85</v>
      </c>
      <c r="E7" s="14" t="s">
        <v>14</v>
      </c>
      <c r="F7" s="14" t="s">
        <v>238</v>
      </c>
      <c r="G7" s="17" t="s">
        <v>8</v>
      </c>
      <c r="H7" s="15">
        <v>0.5</v>
      </c>
      <c r="I7" s="14" t="s">
        <v>87</v>
      </c>
      <c r="J7" s="14" t="s">
        <v>239</v>
      </c>
      <c r="K7" s="14" t="s">
        <v>240</v>
      </c>
      <c r="L7" s="14" t="s">
        <v>241</v>
      </c>
      <c r="M7" s="14" t="s">
        <v>91</v>
      </c>
      <c r="N7" s="14" t="s">
        <v>242</v>
      </c>
      <c r="O7" s="14" t="s">
        <v>243</v>
      </c>
    </row>
    <row r="8" spans="1:15" ht="90" customHeight="1" x14ac:dyDescent="0.25">
      <c r="A8" s="20">
        <v>4</v>
      </c>
      <c r="B8" s="14" t="s">
        <v>356</v>
      </c>
      <c r="C8" s="14" t="s">
        <v>116</v>
      </c>
      <c r="D8" s="20" t="s">
        <v>85</v>
      </c>
      <c r="E8" s="14" t="s">
        <v>14</v>
      </c>
      <c r="F8" s="14" t="s">
        <v>357</v>
      </c>
      <c r="G8" s="17" t="s">
        <v>8</v>
      </c>
      <c r="H8" s="15">
        <v>0.4</v>
      </c>
      <c r="I8" s="14" t="s">
        <v>87</v>
      </c>
      <c r="J8" s="14" t="s">
        <v>358</v>
      </c>
      <c r="K8" s="14" t="s">
        <v>359</v>
      </c>
      <c r="L8" s="14" t="s">
        <v>360</v>
      </c>
      <c r="M8" s="14" t="s">
        <v>91</v>
      </c>
      <c r="N8" s="14" t="s">
        <v>361</v>
      </c>
      <c r="O8" s="14" t="s">
        <v>362</v>
      </c>
    </row>
    <row r="9" spans="1:15" ht="90" customHeight="1" x14ac:dyDescent="0.25">
      <c r="A9" s="20">
        <v>5</v>
      </c>
      <c r="B9" s="14" t="s">
        <v>363</v>
      </c>
      <c r="C9" s="14" t="s">
        <v>127</v>
      </c>
      <c r="D9" s="20" t="s">
        <v>85</v>
      </c>
      <c r="E9" s="14" t="s">
        <v>14</v>
      </c>
      <c r="F9" s="14" t="s">
        <v>364</v>
      </c>
      <c r="G9" s="17" t="s">
        <v>8</v>
      </c>
      <c r="H9" s="15">
        <v>0.4</v>
      </c>
      <c r="I9" s="14" t="s">
        <v>87</v>
      </c>
      <c r="J9" s="14" t="s">
        <v>365</v>
      </c>
      <c r="K9" s="14" t="s">
        <v>366</v>
      </c>
      <c r="L9" s="14" t="s">
        <v>367</v>
      </c>
      <c r="M9" s="14" t="s">
        <v>91</v>
      </c>
      <c r="N9" s="14" t="s">
        <v>368</v>
      </c>
      <c r="O9" s="14" t="s">
        <v>369</v>
      </c>
    </row>
    <row r="10" spans="1:15" ht="75" customHeight="1" x14ac:dyDescent="0.25">
      <c r="A10" s="20">
        <v>6</v>
      </c>
      <c r="B10" s="14" t="s">
        <v>390</v>
      </c>
      <c r="C10" s="14" t="s">
        <v>116</v>
      </c>
      <c r="D10" s="20" t="s">
        <v>85</v>
      </c>
      <c r="E10" s="14" t="s">
        <v>14</v>
      </c>
      <c r="F10" s="14" t="s">
        <v>391</v>
      </c>
      <c r="G10" s="21" t="s">
        <v>10</v>
      </c>
      <c r="H10" s="15">
        <v>0.85</v>
      </c>
      <c r="I10" s="14" t="s">
        <v>372</v>
      </c>
      <c r="J10" s="14" t="s">
        <v>392</v>
      </c>
      <c r="K10" s="14" t="s">
        <v>393</v>
      </c>
      <c r="L10" s="14" t="s">
        <v>394</v>
      </c>
      <c r="M10" s="14" t="s">
        <v>395</v>
      </c>
      <c r="N10" s="14" t="s">
        <v>377</v>
      </c>
      <c r="O10" s="14" t="s">
        <v>396</v>
      </c>
    </row>
    <row r="11" spans="1:15" ht="75" customHeight="1" x14ac:dyDescent="0.25">
      <c r="A11" s="20">
        <v>7</v>
      </c>
      <c r="B11" s="14" t="s">
        <v>410</v>
      </c>
      <c r="C11" s="14" t="s">
        <v>127</v>
      </c>
      <c r="D11" s="20" t="s">
        <v>85</v>
      </c>
      <c r="E11" s="14" t="s">
        <v>14</v>
      </c>
      <c r="F11" s="14" t="s">
        <v>411</v>
      </c>
      <c r="G11" s="21" t="s">
        <v>10</v>
      </c>
      <c r="H11" s="15">
        <v>0.8</v>
      </c>
      <c r="I11" s="14" t="s">
        <v>372</v>
      </c>
      <c r="J11" s="14" t="s">
        <v>412</v>
      </c>
      <c r="K11" s="14" t="s">
        <v>413</v>
      </c>
      <c r="L11" s="14" t="s">
        <v>414</v>
      </c>
      <c r="M11" s="14" t="s">
        <v>415</v>
      </c>
      <c r="N11" s="14" t="s">
        <v>377</v>
      </c>
      <c r="O11" s="14" t="s">
        <v>416</v>
      </c>
    </row>
    <row r="12" spans="1:15" ht="75" customHeight="1" x14ac:dyDescent="0.25">
      <c r="A12" s="20">
        <v>8</v>
      </c>
      <c r="B12" s="14" t="s">
        <v>424</v>
      </c>
      <c r="C12" s="14" t="s">
        <v>110</v>
      </c>
      <c r="D12" s="20" t="s">
        <v>85</v>
      </c>
      <c r="E12" s="14" t="s">
        <v>14</v>
      </c>
      <c r="F12" s="14" t="s">
        <v>411</v>
      </c>
      <c r="G12" s="21" t="s">
        <v>10</v>
      </c>
      <c r="H12" s="15">
        <v>0.75</v>
      </c>
      <c r="I12" s="14" t="s">
        <v>425</v>
      </c>
      <c r="J12" s="14" t="s">
        <v>426</v>
      </c>
      <c r="K12" s="14" t="s">
        <v>371</v>
      </c>
      <c r="L12" s="14" t="s">
        <v>427</v>
      </c>
      <c r="M12" s="14" t="s">
        <v>428</v>
      </c>
      <c r="N12" s="14" t="s">
        <v>377</v>
      </c>
      <c r="O12" s="14" t="s">
        <v>429</v>
      </c>
    </row>
    <row r="13" spans="1:15" ht="75" customHeight="1" x14ac:dyDescent="0.25">
      <c r="A13" s="20">
        <v>9</v>
      </c>
      <c r="B13" s="14" t="s">
        <v>443</v>
      </c>
      <c r="C13" s="14" t="s">
        <v>127</v>
      </c>
      <c r="D13" s="20" t="s">
        <v>85</v>
      </c>
      <c r="E13" s="14" t="s">
        <v>14</v>
      </c>
      <c r="F13" s="14" t="s">
        <v>444</v>
      </c>
      <c r="G13" s="21" t="s">
        <v>10</v>
      </c>
      <c r="H13" s="15">
        <v>0.75</v>
      </c>
      <c r="I13" s="14" t="s">
        <v>372</v>
      </c>
      <c r="J13" s="14" t="s">
        <v>445</v>
      </c>
      <c r="K13" s="14" t="s">
        <v>446</v>
      </c>
      <c r="L13" s="14" t="s">
        <v>447</v>
      </c>
      <c r="M13" s="14" t="s">
        <v>448</v>
      </c>
      <c r="N13" s="14" t="s">
        <v>377</v>
      </c>
      <c r="O13" s="14" t="s">
        <v>449</v>
      </c>
    </row>
    <row r="14" spans="1:15" ht="75" customHeight="1" x14ac:dyDescent="0.25">
      <c r="A14" s="20">
        <v>10</v>
      </c>
      <c r="B14" s="14" t="s">
        <v>456</v>
      </c>
      <c r="C14" s="14" t="s">
        <v>127</v>
      </c>
      <c r="D14" s="20" t="s">
        <v>85</v>
      </c>
      <c r="E14" s="14" t="s">
        <v>14</v>
      </c>
      <c r="F14" s="14" t="s">
        <v>457</v>
      </c>
      <c r="G14" s="21" t="s">
        <v>10</v>
      </c>
      <c r="H14" s="15">
        <v>0.7</v>
      </c>
      <c r="I14" s="14" t="s">
        <v>372</v>
      </c>
      <c r="J14" s="14" t="s">
        <v>458</v>
      </c>
      <c r="K14" s="14" t="s">
        <v>459</v>
      </c>
      <c r="L14" s="14" t="s">
        <v>460</v>
      </c>
      <c r="M14" s="14" t="s">
        <v>461</v>
      </c>
      <c r="N14" s="14" t="s">
        <v>377</v>
      </c>
      <c r="O14" s="14" t="s">
        <v>462</v>
      </c>
    </row>
    <row r="15" spans="1:15" ht="75" customHeight="1" x14ac:dyDescent="0.25">
      <c r="A15" s="20">
        <v>11</v>
      </c>
      <c r="B15" s="14" t="s">
        <v>463</v>
      </c>
      <c r="C15" s="14" t="s">
        <v>110</v>
      </c>
      <c r="D15" s="20" t="s">
        <v>85</v>
      </c>
      <c r="E15" s="14" t="s">
        <v>14</v>
      </c>
      <c r="F15" s="14" t="s">
        <v>464</v>
      </c>
      <c r="G15" s="21" t="s">
        <v>10</v>
      </c>
      <c r="H15" s="15">
        <v>0.7</v>
      </c>
      <c r="I15" s="14" t="s">
        <v>372</v>
      </c>
      <c r="J15" s="14" t="s">
        <v>174</v>
      </c>
      <c r="K15" s="14" t="s">
        <v>371</v>
      </c>
      <c r="L15" s="14" t="s">
        <v>465</v>
      </c>
      <c r="M15" s="14" t="s">
        <v>466</v>
      </c>
      <c r="N15" s="14" t="s">
        <v>377</v>
      </c>
      <c r="O15" s="14" t="s">
        <v>467</v>
      </c>
    </row>
    <row r="16" spans="1:15" ht="75" customHeight="1" x14ac:dyDescent="0.25">
      <c r="A16" s="20">
        <v>12</v>
      </c>
      <c r="B16" s="14" t="s">
        <v>553</v>
      </c>
      <c r="C16" s="14" t="s">
        <v>127</v>
      </c>
      <c r="D16" s="20" t="s">
        <v>85</v>
      </c>
      <c r="E16" s="14" t="s">
        <v>14</v>
      </c>
      <c r="F16" s="14" t="s">
        <v>554</v>
      </c>
      <c r="G16" s="21" t="s">
        <v>10</v>
      </c>
      <c r="H16" s="15">
        <v>0.6</v>
      </c>
      <c r="I16" s="14" t="s">
        <v>372</v>
      </c>
      <c r="J16" s="14" t="s">
        <v>555</v>
      </c>
      <c r="K16" s="14" t="s">
        <v>556</v>
      </c>
      <c r="L16" s="14" t="s">
        <v>557</v>
      </c>
      <c r="M16" s="14" t="s">
        <v>558</v>
      </c>
      <c r="N16" s="14" t="s">
        <v>377</v>
      </c>
      <c r="O16" s="14" t="s">
        <v>559</v>
      </c>
    </row>
    <row r="17" spans="1:15" ht="75" customHeight="1" x14ac:dyDescent="0.25">
      <c r="A17" s="20">
        <v>13</v>
      </c>
      <c r="B17" s="14" t="s">
        <v>579</v>
      </c>
      <c r="C17" s="14" t="s">
        <v>127</v>
      </c>
      <c r="D17" s="20" t="s">
        <v>85</v>
      </c>
      <c r="E17" s="14" t="s">
        <v>14</v>
      </c>
      <c r="F17" s="14" t="s">
        <v>580</v>
      </c>
      <c r="G17" s="21" t="s">
        <v>10</v>
      </c>
      <c r="H17" s="15">
        <v>0.55000000000000004</v>
      </c>
      <c r="I17" s="14" t="s">
        <v>372</v>
      </c>
      <c r="J17" s="14" t="s">
        <v>581</v>
      </c>
      <c r="K17" s="14" t="s">
        <v>485</v>
      </c>
      <c r="L17" s="14" t="s">
        <v>582</v>
      </c>
      <c r="M17" s="14" t="s">
        <v>583</v>
      </c>
      <c r="N17" s="14" t="s">
        <v>377</v>
      </c>
      <c r="O17" s="14" t="s">
        <v>584</v>
      </c>
    </row>
    <row r="18" spans="1:15" ht="75" customHeight="1" x14ac:dyDescent="0.25">
      <c r="A18" s="20">
        <v>14</v>
      </c>
      <c r="B18" s="14" t="s">
        <v>621</v>
      </c>
      <c r="C18" s="14" t="s">
        <v>127</v>
      </c>
      <c r="D18" s="20" t="s">
        <v>85</v>
      </c>
      <c r="E18" s="14" t="s">
        <v>14</v>
      </c>
      <c r="F18" s="14" t="s">
        <v>622</v>
      </c>
      <c r="G18" s="21" t="s">
        <v>10</v>
      </c>
      <c r="H18" s="15">
        <v>0.55000000000000004</v>
      </c>
      <c r="I18" s="14" t="s">
        <v>372</v>
      </c>
      <c r="J18" s="14" t="s">
        <v>623</v>
      </c>
      <c r="K18" s="14" t="s">
        <v>624</v>
      </c>
      <c r="L18" s="14" t="s">
        <v>625</v>
      </c>
      <c r="M18" s="14" t="s">
        <v>626</v>
      </c>
      <c r="N18" s="14" t="s">
        <v>377</v>
      </c>
      <c r="O18" s="14" t="s">
        <v>627</v>
      </c>
    </row>
    <row r="19" spans="1:15" ht="75" customHeight="1" x14ac:dyDescent="0.25">
      <c r="A19" s="20">
        <v>15</v>
      </c>
      <c r="B19" s="14" t="s">
        <v>628</v>
      </c>
      <c r="C19" s="14" t="s">
        <v>127</v>
      </c>
      <c r="D19" s="20" t="s">
        <v>85</v>
      </c>
      <c r="E19" s="14" t="s">
        <v>14</v>
      </c>
      <c r="F19" s="14" t="s">
        <v>629</v>
      </c>
      <c r="G19" s="21" t="s">
        <v>10</v>
      </c>
      <c r="H19" s="15">
        <v>0.55000000000000004</v>
      </c>
      <c r="I19" s="14" t="s">
        <v>372</v>
      </c>
      <c r="J19" s="14" t="s">
        <v>630</v>
      </c>
      <c r="K19" s="14" t="s">
        <v>631</v>
      </c>
      <c r="L19" s="14" t="s">
        <v>632</v>
      </c>
      <c r="M19" s="14" t="s">
        <v>633</v>
      </c>
      <c r="N19" s="14" t="s">
        <v>377</v>
      </c>
      <c r="O19" s="14" t="s">
        <v>634</v>
      </c>
    </row>
    <row r="20" spans="1:15" ht="75" customHeight="1" x14ac:dyDescent="0.25">
      <c r="A20" s="20">
        <v>16</v>
      </c>
      <c r="B20" s="14" t="s">
        <v>693</v>
      </c>
      <c r="C20" s="14" t="s">
        <v>127</v>
      </c>
      <c r="D20" s="20" t="s">
        <v>85</v>
      </c>
      <c r="E20" s="14" t="s">
        <v>14</v>
      </c>
      <c r="F20" s="14" t="s">
        <v>694</v>
      </c>
      <c r="G20" s="21" t="s">
        <v>10</v>
      </c>
      <c r="H20" s="15">
        <v>0.5</v>
      </c>
      <c r="I20" s="14" t="s">
        <v>372</v>
      </c>
      <c r="J20" s="14" t="s">
        <v>695</v>
      </c>
      <c r="K20" s="14" t="s">
        <v>485</v>
      </c>
      <c r="L20" s="14" t="s">
        <v>582</v>
      </c>
      <c r="M20" s="14" t="s">
        <v>696</v>
      </c>
      <c r="N20" s="14" t="s">
        <v>377</v>
      </c>
      <c r="O20" s="14" t="s">
        <v>697</v>
      </c>
    </row>
    <row r="21" spans="1:15" ht="75" customHeight="1" x14ac:dyDescent="0.25">
      <c r="A21" s="20">
        <v>17</v>
      </c>
      <c r="B21" s="14" t="s">
        <v>698</v>
      </c>
      <c r="C21" s="14" t="s">
        <v>127</v>
      </c>
      <c r="D21" s="20" t="s">
        <v>85</v>
      </c>
      <c r="E21" s="14" t="s">
        <v>14</v>
      </c>
      <c r="F21" s="14" t="s">
        <v>357</v>
      </c>
      <c r="G21" s="21" t="s">
        <v>10</v>
      </c>
      <c r="H21" s="15">
        <v>0.5</v>
      </c>
      <c r="I21" s="14" t="s">
        <v>372</v>
      </c>
      <c r="J21" s="14" t="s">
        <v>699</v>
      </c>
      <c r="K21" s="14" t="s">
        <v>485</v>
      </c>
      <c r="L21" s="14" t="s">
        <v>700</v>
      </c>
      <c r="M21" s="14" t="s">
        <v>701</v>
      </c>
      <c r="N21" s="14" t="s">
        <v>377</v>
      </c>
      <c r="O21" s="14" t="s">
        <v>702</v>
      </c>
    </row>
    <row r="22" spans="1:15" ht="75" customHeight="1" x14ac:dyDescent="0.25">
      <c r="A22" s="20">
        <v>18</v>
      </c>
      <c r="B22" s="14" t="s">
        <v>715</v>
      </c>
      <c r="C22" s="14" t="s">
        <v>110</v>
      </c>
      <c r="D22" s="20" t="s">
        <v>85</v>
      </c>
      <c r="E22" s="14" t="s">
        <v>14</v>
      </c>
      <c r="F22" s="14" t="s">
        <v>716</v>
      </c>
      <c r="G22" s="21" t="s">
        <v>10</v>
      </c>
      <c r="H22" s="15">
        <v>0.5</v>
      </c>
      <c r="I22" s="14" t="s">
        <v>372</v>
      </c>
      <c r="J22" s="14" t="s">
        <v>717</v>
      </c>
      <c r="K22" s="14" t="s">
        <v>371</v>
      </c>
      <c r="L22" s="14" t="s">
        <v>465</v>
      </c>
      <c r="M22" s="14" t="s">
        <v>718</v>
      </c>
      <c r="N22" s="14" t="s">
        <v>377</v>
      </c>
      <c r="O22" s="14" t="s">
        <v>467</v>
      </c>
    </row>
    <row r="23" spans="1:15" ht="75" customHeight="1" x14ac:dyDescent="0.25">
      <c r="A23" s="20">
        <v>19</v>
      </c>
      <c r="B23" s="14" t="s">
        <v>723</v>
      </c>
      <c r="C23" s="14" t="s">
        <v>127</v>
      </c>
      <c r="D23" s="20" t="s">
        <v>85</v>
      </c>
      <c r="E23" s="14" t="s">
        <v>14</v>
      </c>
      <c r="F23" s="14" t="s">
        <v>724</v>
      </c>
      <c r="G23" s="21" t="s">
        <v>10</v>
      </c>
      <c r="H23" s="15">
        <v>0.5</v>
      </c>
      <c r="I23" s="14" t="s">
        <v>372</v>
      </c>
      <c r="J23" s="14" t="s">
        <v>725</v>
      </c>
      <c r="K23" s="14" t="s">
        <v>485</v>
      </c>
      <c r="L23" s="14" t="s">
        <v>726</v>
      </c>
      <c r="M23" s="14" t="s">
        <v>727</v>
      </c>
      <c r="N23" s="14" t="s">
        <v>377</v>
      </c>
      <c r="O23" s="14" t="s">
        <v>728</v>
      </c>
    </row>
    <row r="24" spans="1:15" ht="75" customHeight="1" x14ac:dyDescent="0.25">
      <c r="A24" s="20">
        <v>20</v>
      </c>
      <c r="B24" s="14" t="s">
        <v>745</v>
      </c>
      <c r="C24" s="14" t="s">
        <v>110</v>
      </c>
      <c r="D24" s="20" t="s">
        <v>85</v>
      </c>
      <c r="E24" s="14" t="s">
        <v>14</v>
      </c>
      <c r="F24" s="14" t="s">
        <v>746</v>
      </c>
      <c r="G24" s="21" t="s">
        <v>10</v>
      </c>
      <c r="H24" s="15">
        <v>0.45</v>
      </c>
      <c r="I24" s="14" t="s">
        <v>372</v>
      </c>
      <c r="J24" s="14" t="s">
        <v>747</v>
      </c>
      <c r="K24" s="14" t="s">
        <v>371</v>
      </c>
      <c r="L24" s="14" t="s">
        <v>465</v>
      </c>
      <c r="M24" s="14" t="s">
        <v>748</v>
      </c>
      <c r="N24" s="14" t="s">
        <v>377</v>
      </c>
      <c r="O24" s="14" t="s">
        <v>467</v>
      </c>
    </row>
    <row r="25" spans="1:15" ht="75" customHeight="1" x14ac:dyDescent="0.25">
      <c r="A25" s="20">
        <v>21</v>
      </c>
      <c r="B25" s="14" t="s">
        <v>773</v>
      </c>
      <c r="C25" s="14" t="s">
        <v>84</v>
      </c>
      <c r="D25" s="20" t="s">
        <v>85</v>
      </c>
      <c r="E25" s="14" t="s">
        <v>14</v>
      </c>
      <c r="F25" s="14" t="s">
        <v>774</v>
      </c>
      <c r="G25" s="21" t="s">
        <v>10</v>
      </c>
      <c r="H25" s="15">
        <v>0.4</v>
      </c>
      <c r="I25" s="14" t="s">
        <v>425</v>
      </c>
      <c r="J25" s="14" t="s">
        <v>775</v>
      </c>
      <c r="K25" s="14" t="s">
        <v>776</v>
      </c>
      <c r="L25" s="14" t="s">
        <v>777</v>
      </c>
      <c r="M25" s="14" t="s">
        <v>778</v>
      </c>
      <c r="N25" s="14" t="s">
        <v>377</v>
      </c>
      <c r="O25" s="14" t="s">
        <v>779</v>
      </c>
    </row>
    <row r="26" spans="1:15" ht="75" customHeight="1" x14ac:dyDescent="0.25">
      <c r="A26" s="20">
        <v>22</v>
      </c>
      <c r="B26" s="14" t="s">
        <v>780</v>
      </c>
      <c r="C26" s="14" t="s">
        <v>127</v>
      </c>
      <c r="D26" s="20" t="s">
        <v>85</v>
      </c>
      <c r="E26" s="14" t="s">
        <v>14</v>
      </c>
      <c r="F26" s="14" t="s">
        <v>781</v>
      </c>
      <c r="G26" s="21" t="s">
        <v>10</v>
      </c>
      <c r="H26" s="15">
        <v>0.4</v>
      </c>
      <c r="I26" s="14" t="s">
        <v>372</v>
      </c>
      <c r="J26" s="14" t="s">
        <v>782</v>
      </c>
      <c r="K26" s="14" t="s">
        <v>485</v>
      </c>
      <c r="L26" s="14" t="s">
        <v>783</v>
      </c>
      <c r="M26" s="14" t="s">
        <v>784</v>
      </c>
      <c r="N26" s="14" t="s">
        <v>377</v>
      </c>
      <c r="O26" s="14" t="s">
        <v>785</v>
      </c>
    </row>
    <row r="27" spans="1:15" ht="75" customHeight="1" x14ac:dyDescent="0.25">
      <c r="A27" s="20">
        <v>23</v>
      </c>
      <c r="B27" s="14" t="s">
        <v>786</v>
      </c>
      <c r="C27" s="14" t="s">
        <v>127</v>
      </c>
      <c r="D27" s="20" t="s">
        <v>85</v>
      </c>
      <c r="E27" s="14" t="s">
        <v>14</v>
      </c>
      <c r="F27" s="14" t="s">
        <v>787</v>
      </c>
      <c r="G27" s="21" t="s">
        <v>10</v>
      </c>
      <c r="H27" s="15">
        <v>0.4</v>
      </c>
      <c r="I27" s="14" t="s">
        <v>372</v>
      </c>
      <c r="J27" s="14" t="s">
        <v>788</v>
      </c>
      <c r="K27" s="14" t="s">
        <v>485</v>
      </c>
      <c r="L27" s="14" t="s">
        <v>789</v>
      </c>
      <c r="M27" s="14" t="s">
        <v>790</v>
      </c>
      <c r="N27" s="14" t="s">
        <v>377</v>
      </c>
      <c r="O27" s="14" t="s">
        <v>791</v>
      </c>
    </row>
    <row r="28" spans="1:15" ht="75" customHeight="1" x14ac:dyDescent="0.25">
      <c r="A28" s="20">
        <v>24</v>
      </c>
      <c r="B28" s="14" t="s">
        <v>792</v>
      </c>
      <c r="C28" s="14" t="s">
        <v>127</v>
      </c>
      <c r="D28" s="20" t="s">
        <v>85</v>
      </c>
      <c r="E28" s="14" t="s">
        <v>14</v>
      </c>
      <c r="F28" s="14" t="s">
        <v>793</v>
      </c>
      <c r="G28" s="21" t="s">
        <v>10</v>
      </c>
      <c r="H28" s="15">
        <v>0.4</v>
      </c>
      <c r="I28" s="14" t="s">
        <v>372</v>
      </c>
      <c r="J28" s="14" t="s">
        <v>794</v>
      </c>
      <c r="K28" s="14" t="s">
        <v>371</v>
      </c>
      <c r="L28" s="14" t="s">
        <v>795</v>
      </c>
      <c r="M28" s="14" t="s">
        <v>796</v>
      </c>
      <c r="N28" s="14" t="s">
        <v>377</v>
      </c>
      <c r="O28" s="14" t="s">
        <v>797</v>
      </c>
    </row>
    <row r="29" spans="1:15" ht="75" customHeight="1" x14ac:dyDescent="0.25">
      <c r="A29" s="20">
        <v>25</v>
      </c>
      <c r="B29" s="14" t="s">
        <v>826</v>
      </c>
      <c r="C29" s="14" t="s">
        <v>127</v>
      </c>
      <c r="D29" s="20" t="s">
        <v>85</v>
      </c>
      <c r="E29" s="14" t="s">
        <v>14</v>
      </c>
      <c r="F29" s="14" t="s">
        <v>827</v>
      </c>
      <c r="G29" s="21" t="s">
        <v>10</v>
      </c>
      <c r="H29" s="15">
        <v>0.35</v>
      </c>
      <c r="I29" s="14" t="s">
        <v>372</v>
      </c>
      <c r="J29" s="14" t="s">
        <v>828</v>
      </c>
      <c r="K29" s="14" t="s">
        <v>829</v>
      </c>
      <c r="L29" s="14" t="s">
        <v>830</v>
      </c>
      <c r="M29" s="14" t="s">
        <v>831</v>
      </c>
      <c r="N29" s="14" t="s">
        <v>377</v>
      </c>
      <c r="O29" s="14" t="s">
        <v>832</v>
      </c>
    </row>
    <row r="30" spans="1:15" ht="75" customHeight="1" x14ac:dyDescent="0.25">
      <c r="A30" s="20">
        <v>26</v>
      </c>
      <c r="B30" s="14" t="s">
        <v>833</v>
      </c>
      <c r="C30" s="14" t="s">
        <v>116</v>
      </c>
      <c r="D30" s="20" t="s">
        <v>85</v>
      </c>
      <c r="E30" s="14" t="s">
        <v>14</v>
      </c>
      <c r="F30" s="14" t="s">
        <v>834</v>
      </c>
      <c r="G30" s="21" t="s">
        <v>10</v>
      </c>
      <c r="H30" s="15">
        <v>0.35</v>
      </c>
      <c r="I30" s="14" t="s">
        <v>372</v>
      </c>
      <c r="J30" s="14" t="s">
        <v>835</v>
      </c>
      <c r="K30" s="14" t="s">
        <v>836</v>
      </c>
      <c r="L30" s="14" t="s">
        <v>837</v>
      </c>
      <c r="M30" s="14" t="s">
        <v>91</v>
      </c>
      <c r="N30" s="14" t="s">
        <v>377</v>
      </c>
      <c r="O30" s="14" t="s">
        <v>838</v>
      </c>
    </row>
    <row r="31" spans="1:15" ht="75" customHeight="1" x14ac:dyDescent="0.25">
      <c r="A31" s="20">
        <v>27</v>
      </c>
      <c r="B31" s="14" t="s">
        <v>851</v>
      </c>
      <c r="C31" s="14" t="s">
        <v>110</v>
      </c>
      <c r="D31" s="20" t="s">
        <v>85</v>
      </c>
      <c r="E31" s="14" t="s">
        <v>14</v>
      </c>
      <c r="F31" s="14" t="s">
        <v>852</v>
      </c>
      <c r="G31" s="21" t="s">
        <v>10</v>
      </c>
      <c r="H31" s="15">
        <v>0.35</v>
      </c>
      <c r="I31" s="14" t="s">
        <v>372</v>
      </c>
      <c r="J31" s="14" t="s">
        <v>853</v>
      </c>
      <c r="K31" s="14" t="s">
        <v>854</v>
      </c>
      <c r="L31" s="14" t="s">
        <v>855</v>
      </c>
      <c r="M31" s="14" t="s">
        <v>91</v>
      </c>
      <c r="N31" s="14" t="s">
        <v>377</v>
      </c>
      <c r="O31" s="14" t="s">
        <v>546</v>
      </c>
    </row>
    <row r="32" spans="1:15" ht="75" customHeight="1" x14ac:dyDescent="0.25">
      <c r="A32" s="20">
        <v>28</v>
      </c>
      <c r="B32" s="14" t="s">
        <v>890</v>
      </c>
      <c r="C32" s="14" t="s">
        <v>110</v>
      </c>
      <c r="D32" s="20" t="s">
        <v>85</v>
      </c>
      <c r="E32" s="14" t="s">
        <v>14</v>
      </c>
      <c r="F32" s="14" t="s">
        <v>891</v>
      </c>
      <c r="G32" s="21" t="s">
        <v>10</v>
      </c>
      <c r="H32" s="15">
        <v>0.3</v>
      </c>
      <c r="I32" s="14" t="s">
        <v>425</v>
      </c>
      <c r="J32" s="14" t="s">
        <v>892</v>
      </c>
      <c r="K32" s="14" t="s">
        <v>893</v>
      </c>
      <c r="L32" s="14" t="s">
        <v>894</v>
      </c>
      <c r="M32" s="14" t="s">
        <v>91</v>
      </c>
      <c r="N32" s="14" t="s">
        <v>377</v>
      </c>
      <c r="O32" s="14" t="s">
        <v>895</v>
      </c>
    </row>
    <row r="33" spans="1:15" ht="75" customHeight="1" x14ac:dyDescent="0.25">
      <c r="A33" s="20">
        <v>29</v>
      </c>
      <c r="B33" s="14" t="s">
        <v>1040</v>
      </c>
      <c r="C33" s="14" t="s">
        <v>127</v>
      </c>
      <c r="D33" s="20" t="s">
        <v>85</v>
      </c>
      <c r="E33" s="14" t="s">
        <v>14</v>
      </c>
      <c r="F33" s="14" t="s">
        <v>1041</v>
      </c>
      <c r="G33" s="21" t="s">
        <v>10</v>
      </c>
      <c r="H33" s="15">
        <v>0.25</v>
      </c>
      <c r="I33" s="14" t="s">
        <v>372</v>
      </c>
      <c r="J33" s="14" t="s">
        <v>1042</v>
      </c>
      <c r="K33" s="14" t="s">
        <v>485</v>
      </c>
      <c r="L33" s="14" t="s">
        <v>1043</v>
      </c>
      <c r="M33" s="14" t="s">
        <v>91</v>
      </c>
      <c r="N33" s="14" t="s">
        <v>377</v>
      </c>
      <c r="O33" s="14" t="s">
        <v>1044</v>
      </c>
    </row>
    <row r="34" spans="1:15" ht="75" customHeight="1" x14ac:dyDescent="0.25">
      <c r="A34" s="20">
        <v>30</v>
      </c>
      <c r="B34" s="14" t="s">
        <v>1049</v>
      </c>
      <c r="C34" s="14" t="s">
        <v>127</v>
      </c>
      <c r="D34" s="20" t="s">
        <v>85</v>
      </c>
      <c r="E34" s="14" t="s">
        <v>14</v>
      </c>
      <c r="F34" s="14" t="s">
        <v>1050</v>
      </c>
      <c r="G34" s="21" t="s">
        <v>10</v>
      </c>
      <c r="H34" s="15">
        <v>0.25</v>
      </c>
      <c r="I34" s="14" t="s">
        <v>372</v>
      </c>
      <c r="J34" s="14" t="s">
        <v>1051</v>
      </c>
      <c r="K34" s="14" t="s">
        <v>485</v>
      </c>
      <c r="L34" s="14" t="s">
        <v>1052</v>
      </c>
      <c r="M34" s="14" t="s">
        <v>1053</v>
      </c>
      <c r="N34" s="14" t="s">
        <v>377</v>
      </c>
      <c r="O34" s="14" t="s">
        <v>1054</v>
      </c>
    </row>
    <row r="35" spans="1:15" ht="75" customHeight="1" x14ac:dyDescent="0.25">
      <c r="A35" s="20">
        <v>31</v>
      </c>
      <c r="B35" s="14" t="s">
        <v>1177</v>
      </c>
      <c r="C35" s="14" t="s">
        <v>116</v>
      </c>
      <c r="D35" s="20" t="s">
        <v>85</v>
      </c>
      <c r="E35" s="14" t="s">
        <v>14</v>
      </c>
      <c r="F35" s="14" t="s">
        <v>1178</v>
      </c>
      <c r="G35" s="21" t="s">
        <v>10</v>
      </c>
      <c r="H35" s="15">
        <v>0.1</v>
      </c>
      <c r="I35" s="14" t="s">
        <v>372</v>
      </c>
      <c r="J35" s="14" t="s">
        <v>1179</v>
      </c>
      <c r="K35" s="14" t="s">
        <v>1180</v>
      </c>
      <c r="L35" s="14" t="s">
        <v>1181</v>
      </c>
      <c r="M35" s="14" t="s">
        <v>1182</v>
      </c>
      <c r="N35" s="14" t="s">
        <v>377</v>
      </c>
      <c r="O35" s="14" t="s">
        <v>1183</v>
      </c>
    </row>
    <row r="36" spans="1:15" ht="75" customHeight="1" x14ac:dyDescent="0.25">
      <c r="A36" s="20">
        <v>32</v>
      </c>
      <c r="B36" s="14" t="s">
        <v>1200</v>
      </c>
      <c r="C36" s="14" t="s">
        <v>127</v>
      </c>
      <c r="D36" s="20" t="s">
        <v>85</v>
      </c>
      <c r="E36" s="14" t="s">
        <v>14</v>
      </c>
      <c r="F36" s="14" t="s">
        <v>1178</v>
      </c>
      <c r="G36" s="21" t="s">
        <v>10</v>
      </c>
      <c r="H36" s="15">
        <v>0.1</v>
      </c>
      <c r="I36" s="14" t="s">
        <v>372</v>
      </c>
      <c r="J36" s="14" t="s">
        <v>1201</v>
      </c>
      <c r="K36" s="14" t="s">
        <v>1202</v>
      </c>
      <c r="L36" s="14" t="s">
        <v>1203</v>
      </c>
      <c r="M36" s="14" t="s">
        <v>91</v>
      </c>
      <c r="N36" s="14" t="s">
        <v>377</v>
      </c>
      <c r="O36" s="14" t="s">
        <v>1204</v>
      </c>
    </row>
  </sheetData>
  <autoFilter ref="A4:O36" xr:uid="{00000000-0009-0000-0000-000002000000}"/>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49"/>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1249</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78" customHeight="1" x14ac:dyDescent="0.25">
      <c r="A5" s="20">
        <v>1</v>
      </c>
      <c r="B5" s="14" t="s">
        <v>24</v>
      </c>
      <c r="C5" s="14" t="s">
        <v>84</v>
      </c>
      <c r="D5" s="20" t="s">
        <v>85</v>
      </c>
      <c r="E5" s="14" t="s">
        <v>15</v>
      </c>
      <c r="F5" s="14" t="s">
        <v>86</v>
      </c>
      <c r="G5" s="16" t="s">
        <v>6</v>
      </c>
      <c r="H5" s="15">
        <v>0.95</v>
      </c>
      <c r="I5" s="14" t="s">
        <v>87</v>
      </c>
      <c r="J5" s="14" t="s">
        <v>88</v>
      </c>
      <c r="K5" s="14" t="s">
        <v>89</v>
      </c>
      <c r="L5" s="14" t="s">
        <v>90</v>
      </c>
      <c r="M5" s="14" t="s">
        <v>91</v>
      </c>
      <c r="N5" s="14" t="s">
        <v>25</v>
      </c>
      <c r="O5" s="14" t="s">
        <v>92</v>
      </c>
    </row>
    <row r="6" spans="1:15" ht="78" customHeight="1" x14ac:dyDescent="0.25">
      <c r="A6" s="20">
        <v>2</v>
      </c>
      <c r="B6" s="14" t="s">
        <v>36</v>
      </c>
      <c r="C6" s="14" t="s">
        <v>116</v>
      </c>
      <c r="D6" s="20" t="s">
        <v>85</v>
      </c>
      <c r="E6" s="14" t="s">
        <v>15</v>
      </c>
      <c r="F6" s="14" t="s">
        <v>117</v>
      </c>
      <c r="G6" s="17" t="s">
        <v>8</v>
      </c>
      <c r="H6" s="15">
        <v>0.7</v>
      </c>
      <c r="I6" s="14" t="s">
        <v>87</v>
      </c>
      <c r="J6" s="14" t="s">
        <v>118</v>
      </c>
      <c r="K6" s="14" t="s">
        <v>119</v>
      </c>
      <c r="L6" s="14" t="s">
        <v>120</v>
      </c>
      <c r="M6" s="14" t="s">
        <v>91</v>
      </c>
      <c r="N6" s="14" t="s">
        <v>37</v>
      </c>
      <c r="O6" s="14" t="s">
        <v>121</v>
      </c>
    </row>
    <row r="7" spans="1:15" ht="114" customHeight="1" x14ac:dyDescent="0.25">
      <c r="A7" s="20">
        <v>3</v>
      </c>
      <c r="B7" s="14" t="s">
        <v>43</v>
      </c>
      <c r="C7" s="14" t="s">
        <v>116</v>
      </c>
      <c r="D7" s="20" t="s">
        <v>85</v>
      </c>
      <c r="E7" s="14" t="s">
        <v>15</v>
      </c>
      <c r="F7" s="14" t="s">
        <v>133</v>
      </c>
      <c r="G7" s="17" t="s">
        <v>8</v>
      </c>
      <c r="H7" s="15">
        <v>0.65</v>
      </c>
      <c r="I7" s="14" t="s">
        <v>87</v>
      </c>
      <c r="J7" s="14" t="s">
        <v>134</v>
      </c>
      <c r="K7" s="14" t="s">
        <v>135</v>
      </c>
      <c r="L7" s="14" t="s">
        <v>136</v>
      </c>
      <c r="M7" s="14" t="s">
        <v>91</v>
      </c>
      <c r="N7" s="14" t="s">
        <v>44</v>
      </c>
      <c r="O7" s="14" t="s">
        <v>137</v>
      </c>
    </row>
    <row r="8" spans="1:15" ht="66" customHeight="1" x14ac:dyDescent="0.25">
      <c r="A8" s="20">
        <v>4</v>
      </c>
      <c r="B8" s="14" t="s">
        <v>49</v>
      </c>
      <c r="C8" s="14" t="s">
        <v>116</v>
      </c>
      <c r="D8" s="20" t="s">
        <v>85</v>
      </c>
      <c r="E8" s="14" t="s">
        <v>15</v>
      </c>
      <c r="F8" s="14" t="s">
        <v>148</v>
      </c>
      <c r="G8" s="17" t="s">
        <v>8</v>
      </c>
      <c r="H8" s="15">
        <v>0.6</v>
      </c>
      <c r="I8" s="14" t="s">
        <v>87</v>
      </c>
      <c r="J8" s="14" t="s">
        <v>149</v>
      </c>
      <c r="K8" s="14" t="s">
        <v>150</v>
      </c>
      <c r="L8" s="14" t="s">
        <v>151</v>
      </c>
      <c r="M8" s="14" t="s">
        <v>91</v>
      </c>
      <c r="N8" s="14" t="s">
        <v>50</v>
      </c>
      <c r="O8" s="14" t="s">
        <v>152</v>
      </c>
    </row>
    <row r="9" spans="1:15" ht="78" customHeight="1" x14ac:dyDescent="0.25">
      <c r="A9" s="20">
        <v>5</v>
      </c>
      <c r="B9" s="14" t="s">
        <v>53</v>
      </c>
      <c r="C9" s="14" t="s">
        <v>116</v>
      </c>
      <c r="D9" s="20" t="s">
        <v>85</v>
      </c>
      <c r="E9" s="14" t="s">
        <v>15</v>
      </c>
      <c r="F9" s="14" t="s">
        <v>158</v>
      </c>
      <c r="G9" s="17" t="s">
        <v>8</v>
      </c>
      <c r="H9" s="15">
        <v>0.55000000000000004</v>
      </c>
      <c r="I9" s="14" t="s">
        <v>87</v>
      </c>
      <c r="J9" s="14" t="s">
        <v>159</v>
      </c>
      <c r="K9" s="14" t="s">
        <v>160</v>
      </c>
      <c r="L9" s="14" t="s">
        <v>161</v>
      </c>
      <c r="M9" s="14" t="s">
        <v>91</v>
      </c>
      <c r="N9" s="14" t="s">
        <v>54</v>
      </c>
      <c r="O9" s="14" t="s">
        <v>162</v>
      </c>
    </row>
    <row r="10" spans="1:15" ht="78" customHeight="1" x14ac:dyDescent="0.25">
      <c r="A10" s="20">
        <v>6</v>
      </c>
      <c r="B10" s="14" t="s">
        <v>57</v>
      </c>
      <c r="C10" s="14" t="s">
        <v>127</v>
      </c>
      <c r="D10" s="20" t="s">
        <v>85</v>
      </c>
      <c r="E10" s="14" t="s">
        <v>15</v>
      </c>
      <c r="F10" s="14" t="s">
        <v>168</v>
      </c>
      <c r="G10" s="17" t="s">
        <v>8</v>
      </c>
      <c r="H10" s="15">
        <v>0.55000000000000004</v>
      </c>
      <c r="I10" s="14" t="s">
        <v>87</v>
      </c>
      <c r="J10" s="14" t="s">
        <v>169</v>
      </c>
      <c r="K10" s="14" t="s">
        <v>170</v>
      </c>
      <c r="L10" s="14" t="s">
        <v>171</v>
      </c>
      <c r="M10" s="14" t="s">
        <v>91</v>
      </c>
      <c r="N10" s="14" t="s">
        <v>58</v>
      </c>
      <c r="O10" s="14" t="s">
        <v>172</v>
      </c>
    </row>
    <row r="11" spans="1:15" ht="102" customHeight="1" x14ac:dyDescent="0.25">
      <c r="A11" s="20">
        <v>7</v>
      </c>
      <c r="B11" s="14" t="s">
        <v>61</v>
      </c>
      <c r="C11" s="14" t="s">
        <v>110</v>
      </c>
      <c r="D11" s="20" t="s">
        <v>85</v>
      </c>
      <c r="E11" s="14" t="s">
        <v>15</v>
      </c>
      <c r="F11" s="14" t="s">
        <v>178</v>
      </c>
      <c r="G11" s="17" t="s">
        <v>8</v>
      </c>
      <c r="H11" s="15">
        <v>0.5</v>
      </c>
      <c r="I11" s="14" t="s">
        <v>87</v>
      </c>
      <c r="J11" s="14" t="s">
        <v>179</v>
      </c>
      <c r="K11" s="14" t="s">
        <v>180</v>
      </c>
      <c r="L11" s="14" t="s">
        <v>181</v>
      </c>
      <c r="M11" s="14" t="s">
        <v>91</v>
      </c>
      <c r="N11" s="14" t="s">
        <v>62</v>
      </c>
      <c r="O11" s="14" t="s">
        <v>182</v>
      </c>
    </row>
    <row r="12" spans="1:15" ht="78" customHeight="1" x14ac:dyDescent="0.25">
      <c r="A12" s="20">
        <v>8</v>
      </c>
      <c r="B12" s="14" t="s">
        <v>63</v>
      </c>
      <c r="C12" s="14" t="s">
        <v>116</v>
      </c>
      <c r="D12" s="20" t="s">
        <v>85</v>
      </c>
      <c r="E12" s="14" t="s">
        <v>15</v>
      </c>
      <c r="F12" s="14" t="s">
        <v>183</v>
      </c>
      <c r="G12" s="17" t="s">
        <v>8</v>
      </c>
      <c r="H12" s="15">
        <v>0.5</v>
      </c>
      <c r="I12" s="14" t="s">
        <v>87</v>
      </c>
      <c r="J12" s="14" t="s">
        <v>184</v>
      </c>
      <c r="K12" s="14" t="s">
        <v>185</v>
      </c>
      <c r="L12" s="14" t="s">
        <v>186</v>
      </c>
      <c r="M12" s="14" t="s">
        <v>91</v>
      </c>
      <c r="N12" s="14" t="s">
        <v>64</v>
      </c>
      <c r="O12" s="14" t="s">
        <v>187</v>
      </c>
    </row>
    <row r="13" spans="1:15" ht="66" customHeight="1" x14ac:dyDescent="0.25">
      <c r="A13" s="20">
        <v>9</v>
      </c>
      <c r="B13" s="14" t="s">
        <v>188</v>
      </c>
      <c r="C13" s="14" t="s">
        <v>127</v>
      </c>
      <c r="D13" s="20" t="s">
        <v>85</v>
      </c>
      <c r="E13" s="14" t="s">
        <v>15</v>
      </c>
      <c r="F13" s="14" t="s">
        <v>189</v>
      </c>
      <c r="G13" s="17" t="s">
        <v>8</v>
      </c>
      <c r="H13" s="15">
        <v>0.5</v>
      </c>
      <c r="I13" s="14" t="s">
        <v>87</v>
      </c>
      <c r="J13" s="14" t="s">
        <v>190</v>
      </c>
      <c r="K13" s="14" t="s">
        <v>191</v>
      </c>
      <c r="L13" s="14" t="s">
        <v>192</v>
      </c>
      <c r="M13" s="14" t="s">
        <v>91</v>
      </c>
      <c r="N13" s="14" t="s">
        <v>193</v>
      </c>
      <c r="O13" s="14" t="s">
        <v>194</v>
      </c>
    </row>
    <row r="14" spans="1:15" ht="102" customHeight="1" x14ac:dyDescent="0.25">
      <c r="A14" s="20">
        <v>10</v>
      </c>
      <c r="B14" s="14" t="s">
        <v>209</v>
      </c>
      <c r="C14" s="14" t="s">
        <v>116</v>
      </c>
      <c r="D14" s="20" t="s">
        <v>85</v>
      </c>
      <c r="E14" s="14" t="s">
        <v>15</v>
      </c>
      <c r="F14" s="14" t="s">
        <v>210</v>
      </c>
      <c r="G14" s="17" t="s">
        <v>8</v>
      </c>
      <c r="H14" s="15">
        <v>0.5</v>
      </c>
      <c r="I14" s="14" t="s">
        <v>87</v>
      </c>
      <c r="J14" s="14" t="s">
        <v>211</v>
      </c>
      <c r="K14" s="14" t="s">
        <v>212</v>
      </c>
      <c r="L14" s="14" t="s">
        <v>213</v>
      </c>
      <c r="M14" s="14" t="s">
        <v>91</v>
      </c>
      <c r="N14" s="14" t="s">
        <v>214</v>
      </c>
      <c r="O14" s="14" t="s">
        <v>215</v>
      </c>
    </row>
    <row r="15" spans="1:15" ht="90" customHeight="1" x14ac:dyDescent="0.25">
      <c r="A15" s="20">
        <v>11</v>
      </c>
      <c r="B15" s="14" t="s">
        <v>258</v>
      </c>
      <c r="C15" s="14" t="s">
        <v>116</v>
      </c>
      <c r="D15" s="20" t="s">
        <v>85</v>
      </c>
      <c r="E15" s="14" t="s">
        <v>15</v>
      </c>
      <c r="F15" s="14" t="s">
        <v>259</v>
      </c>
      <c r="G15" s="17" t="s">
        <v>8</v>
      </c>
      <c r="H15" s="15">
        <v>0.45</v>
      </c>
      <c r="I15" s="14" t="s">
        <v>87</v>
      </c>
      <c r="J15" s="14" t="s">
        <v>260</v>
      </c>
      <c r="K15" s="14" t="s">
        <v>261</v>
      </c>
      <c r="L15" s="14" t="s">
        <v>262</v>
      </c>
      <c r="M15" s="14" t="s">
        <v>91</v>
      </c>
      <c r="N15" s="14" t="s">
        <v>263</v>
      </c>
      <c r="O15" s="14" t="s">
        <v>264</v>
      </c>
    </row>
    <row r="16" spans="1:15" ht="66" customHeight="1" x14ac:dyDescent="0.25">
      <c r="A16" s="20">
        <v>12</v>
      </c>
      <c r="B16" s="14" t="s">
        <v>265</v>
      </c>
      <c r="C16" s="14" t="s">
        <v>116</v>
      </c>
      <c r="D16" s="20" t="s">
        <v>85</v>
      </c>
      <c r="E16" s="14" t="s">
        <v>15</v>
      </c>
      <c r="F16" s="14" t="s">
        <v>266</v>
      </c>
      <c r="G16" s="17" t="s">
        <v>8</v>
      </c>
      <c r="H16" s="15">
        <v>0.45</v>
      </c>
      <c r="I16" s="14" t="s">
        <v>87</v>
      </c>
      <c r="J16" s="14" t="s">
        <v>267</v>
      </c>
      <c r="K16" s="14" t="s">
        <v>268</v>
      </c>
      <c r="L16" s="14" t="s">
        <v>269</v>
      </c>
      <c r="M16" s="14" t="s">
        <v>91</v>
      </c>
      <c r="N16" s="14" t="s">
        <v>270</v>
      </c>
      <c r="O16" s="14" t="s">
        <v>271</v>
      </c>
    </row>
    <row r="17" spans="1:15" ht="114" customHeight="1" x14ac:dyDescent="0.25">
      <c r="A17" s="20">
        <v>13</v>
      </c>
      <c r="B17" s="14" t="s">
        <v>314</v>
      </c>
      <c r="C17" s="14" t="s">
        <v>116</v>
      </c>
      <c r="D17" s="20" t="s">
        <v>85</v>
      </c>
      <c r="E17" s="14" t="s">
        <v>15</v>
      </c>
      <c r="F17" s="14" t="s">
        <v>315</v>
      </c>
      <c r="G17" s="17" t="s">
        <v>8</v>
      </c>
      <c r="H17" s="15">
        <v>0.4</v>
      </c>
      <c r="I17" s="14" t="s">
        <v>87</v>
      </c>
      <c r="J17" s="14" t="s">
        <v>316</v>
      </c>
      <c r="K17" s="14" t="s">
        <v>317</v>
      </c>
      <c r="L17" s="14" t="s">
        <v>318</v>
      </c>
      <c r="M17" s="14" t="s">
        <v>91</v>
      </c>
      <c r="N17" s="14" t="s">
        <v>319</v>
      </c>
      <c r="O17" s="14" t="s">
        <v>320</v>
      </c>
    </row>
    <row r="18" spans="1:15" ht="75" customHeight="1" x14ac:dyDescent="0.25">
      <c r="A18" s="20">
        <v>14</v>
      </c>
      <c r="B18" s="14" t="s">
        <v>417</v>
      </c>
      <c r="C18" s="14" t="s">
        <v>116</v>
      </c>
      <c r="D18" s="20" t="s">
        <v>85</v>
      </c>
      <c r="E18" s="14" t="s">
        <v>15</v>
      </c>
      <c r="F18" s="14" t="s">
        <v>418</v>
      </c>
      <c r="G18" s="21" t="s">
        <v>10</v>
      </c>
      <c r="H18" s="15">
        <v>0.8</v>
      </c>
      <c r="I18" s="14" t="s">
        <v>372</v>
      </c>
      <c r="J18" s="14" t="s">
        <v>419</v>
      </c>
      <c r="K18" s="14" t="s">
        <v>420</v>
      </c>
      <c r="L18" s="14" t="s">
        <v>421</v>
      </c>
      <c r="M18" s="14" t="s">
        <v>422</v>
      </c>
      <c r="N18" s="14" t="s">
        <v>377</v>
      </c>
      <c r="O18" s="14" t="s">
        <v>423</v>
      </c>
    </row>
    <row r="19" spans="1:15" ht="75" customHeight="1" x14ac:dyDescent="0.25">
      <c r="A19" s="20">
        <v>15</v>
      </c>
      <c r="B19" s="14" t="s">
        <v>430</v>
      </c>
      <c r="C19" s="14" t="s">
        <v>116</v>
      </c>
      <c r="D19" s="20" t="s">
        <v>85</v>
      </c>
      <c r="E19" s="14" t="s">
        <v>15</v>
      </c>
      <c r="F19" s="14" t="s">
        <v>259</v>
      </c>
      <c r="G19" s="21" t="s">
        <v>10</v>
      </c>
      <c r="H19" s="15">
        <v>0.75</v>
      </c>
      <c r="I19" s="14" t="s">
        <v>372</v>
      </c>
      <c r="J19" s="14" t="s">
        <v>431</v>
      </c>
      <c r="K19" s="14" t="s">
        <v>432</v>
      </c>
      <c r="L19" s="14" t="s">
        <v>433</v>
      </c>
      <c r="M19" s="14" t="s">
        <v>434</v>
      </c>
      <c r="N19" s="14" t="s">
        <v>377</v>
      </c>
      <c r="O19" s="14" t="s">
        <v>435</v>
      </c>
    </row>
    <row r="20" spans="1:15" ht="75" customHeight="1" x14ac:dyDescent="0.25">
      <c r="A20" s="20">
        <v>16</v>
      </c>
      <c r="B20" s="14" t="s">
        <v>436</v>
      </c>
      <c r="C20" s="14" t="s">
        <v>116</v>
      </c>
      <c r="D20" s="20" t="s">
        <v>85</v>
      </c>
      <c r="E20" s="14" t="s">
        <v>15</v>
      </c>
      <c r="F20" s="14" t="s">
        <v>437</v>
      </c>
      <c r="G20" s="21" t="s">
        <v>10</v>
      </c>
      <c r="H20" s="15">
        <v>0.75</v>
      </c>
      <c r="I20" s="14" t="s">
        <v>372</v>
      </c>
      <c r="J20" s="14" t="s">
        <v>438</v>
      </c>
      <c r="K20" s="14" t="s">
        <v>439</v>
      </c>
      <c r="L20" s="14" t="s">
        <v>440</v>
      </c>
      <c r="M20" s="14" t="s">
        <v>441</v>
      </c>
      <c r="N20" s="14" t="s">
        <v>377</v>
      </c>
      <c r="O20" s="14" t="s">
        <v>442</v>
      </c>
    </row>
    <row r="21" spans="1:15" ht="75" customHeight="1" x14ac:dyDescent="0.25">
      <c r="A21" s="20">
        <v>17</v>
      </c>
      <c r="B21" s="14" t="s">
        <v>450</v>
      </c>
      <c r="C21" s="14" t="s">
        <v>110</v>
      </c>
      <c r="D21" s="20" t="s">
        <v>85</v>
      </c>
      <c r="E21" s="14" t="s">
        <v>15</v>
      </c>
      <c r="F21" s="14" t="s">
        <v>451</v>
      </c>
      <c r="G21" s="21" t="s">
        <v>10</v>
      </c>
      <c r="H21" s="15">
        <v>0.7</v>
      </c>
      <c r="I21" s="14" t="s">
        <v>372</v>
      </c>
      <c r="J21" s="14" t="s">
        <v>452</v>
      </c>
      <c r="K21" s="14" t="s">
        <v>453</v>
      </c>
      <c r="L21" s="14" t="s">
        <v>454</v>
      </c>
      <c r="M21" s="14" t="s">
        <v>395</v>
      </c>
      <c r="N21" s="14" t="s">
        <v>377</v>
      </c>
      <c r="O21" s="14" t="s">
        <v>455</v>
      </c>
    </row>
    <row r="22" spans="1:15" ht="75" customHeight="1" x14ac:dyDescent="0.25">
      <c r="A22" s="20">
        <v>18</v>
      </c>
      <c r="B22" s="14" t="s">
        <v>482</v>
      </c>
      <c r="C22" s="14" t="s">
        <v>127</v>
      </c>
      <c r="D22" s="20" t="s">
        <v>85</v>
      </c>
      <c r="E22" s="14" t="s">
        <v>15</v>
      </c>
      <c r="F22" s="14" t="s">
        <v>483</v>
      </c>
      <c r="G22" s="21" t="s">
        <v>10</v>
      </c>
      <c r="H22" s="15">
        <v>0.65</v>
      </c>
      <c r="I22" s="14" t="s">
        <v>372</v>
      </c>
      <c r="J22" s="14" t="s">
        <v>484</v>
      </c>
      <c r="K22" s="14" t="s">
        <v>485</v>
      </c>
      <c r="L22" s="14" t="s">
        <v>486</v>
      </c>
      <c r="M22" s="14" t="s">
        <v>487</v>
      </c>
      <c r="N22" s="14" t="s">
        <v>377</v>
      </c>
      <c r="O22" s="14" t="s">
        <v>488</v>
      </c>
    </row>
    <row r="23" spans="1:15" ht="75" customHeight="1" x14ac:dyDescent="0.25">
      <c r="A23" s="20">
        <v>19</v>
      </c>
      <c r="B23" s="14" t="s">
        <v>502</v>
      </c>
      <c r="C23" s="14" t="s">
        <v>127</v>
      </c>
      <c r="D23" s="20" t="s">
        <v>85</v>
      </c>
      <c r="E23" s="14" t="s">
        <v>15</v>
      </c>
      <c r="F23" s="14" t="s">
        <v>503</v>
      </c>
      <c r="G23" s="21" t="s">
        <v>10</v>
      </c>
      <c r="H23" s="15">
        <v>0.65</v>
      </c>
      <c r="I23" s="14" t="s">
        <v>372</v>
      </c>
      <c r="J23" s="14" t="s">
        <v>504</v>
      </c>
      <c r="K23" s="14" t="s">
        <v>505</v>
      </c>
      <c r="L23" s="14" t="s">
        <v>506</v>
      </c>
      <c r="M23" s="14" t="s">
        <v>507</v>
      </c>
      <c r="N23" s="14" t="s">
        <v>377</v>
      </c>
      <c r="O23" s="14" t="s">
        <v>508</v>
      </c>
    </row>
    <row r="24" spans="1:15" ht="75" customHeight="1" x14ac:dyDescent="0.25">
      <c r="A24" s="20">
        <v>20</v>
      </c>
      <c r="B24" s="14" t="s">
        <v>523</v>
      </c>
      <c r="C24" s="14" t="s">
        <v>110</v>
      </c>
      <c r="D24" s="20" t="s">
        <v>85</v>
      </c>
      <c r="E24" s="14" t="s">
        <v>15</v>
      </c>
      <c r="F24" s="14" t="s">
        <v>524</v>
      </c>
      <c r="G24" s="21" t="s">
        <v>10</v>
      </c>
      <c r="H24" s="15">
        <v>0.65</v>
      </c>
      <c r="I24" s="14" t="s">
        <v>372</v>
      </c>
      <c r="J24" s="14" t="s">
        <v>525</v>
      </c>
      <c r="K24" s="14" t="s">
        <v>371</v>
      </c>
      <c r="L24" s="14" t="s">
        <v>465</v>
      </c>
      <c r="M24" s="14" t="s">
        <v>526</v>
      </c>
      <c r="N24" s="14" t="s">
        <v>377</v>
      </c>
      <c r="O24" s="14" t="s">
        <v>467</v>
      </c>
    </row>
    <row r="25" spans="1:15" ht="75" customHeight="1" x14ac:dyDescent="0.25">
      <c r="A25" s="20">
        <v>21</v>
      </c>
      <c r="B25" s="14" t="s">
        <v>534</v>
      </c>
      <c r="C25" s="14" t="s">
        <v>127</v>
      </c>
      <c r="D25" s="20" t="s">
        <v>85</v>
      </c>
      <c r="E25" s="14" t="s">
        <v>15</v>
      </c>
      <c r="F25" s="14" t="s">
        <v>259</v>
      </c>
      <c r="G25" s="21" t="s">
        <v>10</v>
      </c>
      <c r="H25" s="15">
        <v>0.6</v>
      </c>
      <c r="I25" s="14" t="s">
        <v>372</v>
      </c>
      <c r="J25" s="14" t="s">
        <v>535</v>
      </c>
      <c r="K25" s="14" t="s">
        <v>536</v>
      </c>
      <c r="L25" s="14" t="s">
        <v>537</v>
      </c>
      <c r="M25" s="14" t="s">
        <v>538</v>
      </c>
      <c r="N25" s="14" t="s">
        <v>377</v>
      </c>
      <c r="O25" s="14" t="s">
        <v>539</v>
      </c>
    </row>
    <row r="26" spans="1:15" ht="75" customHeight="1" x14ac:dyDescent="0.25">
      <c r="A26" s="20">
        <v>22</v>
      </c>
      <c r="B26" s="14" t="s">
        <v>540</v>
      </c>
      <c r="C26" s="14" t="s">
        <v>110</v>
      </c>
      <c r="D26" s="20" t="s">
        <v>85</v>
      </c>
      <c r="E26" s="14" t="s">
        <v>15</v>
      </c>
      <c r="F26" s="14" t="s">
        <v>541</v>
      </c>
      <c r="G26" s="21" t="s">
        <v>10</v>
      </c>
      <c r="H26" s="15">
        <v>0.6</v>
      </c>
      <c r="I26" s="14" t="s">
        <v>372</v>
      </c>
      <c r="J26" s="14" t="s">
        <v>542</v>
      </c>
      <c r="K26" s="14" t="s">
        <v>543</v>
      </c>
      <c r="L26" s="14" t="s">
        <v>544</v>
      </c>
      <c r="M26" s="14" t="s">
        <v>545</v>
      </c>
      <c r="N26" s="14" t="s">
        <v>377</v>
      </c>
      <c r="O26" s="14" t="s">
        <v>546</v>
      </c>
    </row>
    <row r="27" spans="1:15" ht="75" customHeight="1" x14ac:dyDescent="0.25">
      <c r="A27" s="20">
        <v>23</v>
      </c>
      <c r="B27" s="14" t="s">
        <v>547</v>
      </c>
      <c r="C27" s="14" t="s">
        <v>127</v>
      </c>
      <c r="D27" s="20" t="s">
        <v>85</v>
      </c>
      <c r="E27" s="14" t="s">
        <v>15</v>
      </c>
      <c r="F27" s="14" t="s">
        <v>548</v>
      </c>
      <c r="G27" s="21" t="s">
        <v>10</v>
      </c>
      <c r="H27" s="15">
        <v>0.6</v>
      </c>
      <c r="I27" s="14" t="s">
        <v>372</v>
      </c>
      <c r="J27" s="14" t="s">
        <v>549</v>
      </c>
      <c r="K27" s="14" t="s">
        <v>485</v>
      </c>
      <c r="L27" s="14" t="s">
        <v>550</v>
      </c>
      <c r="M27" s="14" t="s">
        <v>551</v>
      </c>
      <c r="N27" s="14" t="s">
        <v>377</v>
      </c>
      <c r="O27" s="14" t="s">
        <v>552</v>
      </c>
    </row>
    <row r="28" spans="1:15" ht="75" customHeight="1" x14ac:dyDescent="0.25">
      <c r="A28" s="20">
        <v>24</v>
      </c>
      <c r="B28" s="14" t="s">
        <v>560</v>
      </c>
      <c r="C28" s="14" t="s">
        <v>127</v>
      </c>
      <c r="D28" s="20" t="s">
        <v>85</v>
      </c>
      <c r="E28" s="14" t="s">
        <v>15</v>
      </c>
      <c r="F28" s="14" t="s">
        <v>561</v>
      </c>
      <c r="G28" s="21" t="s">
        <v>10</v>
      </c>
      <c r="H28" s="15">
        <v>0.6</v>
      </c>
      <c r="I28" s="14" t="s">
        <v>372</v>
      </c>
      <c r="J28" s="14" t="s">
        <v>562</v>
      </c>
      <c r="K28" s="14" t="s">
        <v>563</v>
      </c>
      <c r="L28" s="14" t="s">
        <v>564</v>
      </c>
      <c r="M28" s="14" t="s">
        <v>565</v>
      </c>
      <c r="N28" s="14" t="s">
        <v>377</v>
      </c>
      <c r="O28" s="14" t="s">
        <v>566</v>
      </c>
    </row>
    <row r="29" spans="1:15" ht="75" customHeight="1" x14ac:dyDescent="0.25">
      <c r="A29" s="20">
        <v>25</v>
      </c>
      <c r="B29" s="14" t="s">
        <v>567</v>
      </c>
      <c r="C29" s="14" t="s">
        <v>110</v>
      </c>
      <c r="D29" s="20" t="s">
        <v>85</v>
      </c>
      <c r="E29" s="14" t="s">
        <v>15</v>
      </c>
      <c r="F29" s="14" t="s">
        <v>568</v>
      </c>
      <c r="G29" s="21" t="s">
        <v>10</v>
      </c>
      <c r="H29" s="15">
        <v>0.6</v>
      </c>
      <c r="I29" s="14" t="s">
        <v>372</v>
      </c>
      <c r="J29" s="14" t="s">
        <v>569</v>
      </c>
      <c r="K29" s="14" t="s">
        <v>570</v>
      </c>
      <c r="L29" s="14" t="s">
        <v>571</v>
      </c>
      <c r="M29" s="14" t="s">
        <v>572</v>
      </c>
      <c r="N29" s="14" t="s">
        <v>377</v>
      </c>
      <c r="O29" s="14" t="s">
        <v>546</v>
      </c>
    </row>
    <row r="30" spans="1:15" ht="75" customHeight="1" x14ac:dyDescent="0.25">
      <c r="A30" s="20">
        <v>26</v>
      </c>
      <c r="B30" s="14" t="s">
        <v>615</v>
      </c>
      <c r="C30" s="14" t="s">
        <v>116</v>
      </c>
      <c r="D30" s="20" t="s">
        <v>85</v>
      </c>
      <c r="E30" s="14" t="s">
        <v>15</v>
      </c>
      <c r="F30" s="14" t="s">
        <v>259</v>
      </c>
      <c r="G30" s="21" t="s">
        <v>10</v>
      </c>
      <c r="H30" s="15">
        <v>0.55000000000000004</v>
      </c>
      <c r="I30" s="14" t="s">
        <v>372</v>
      </c>
      <c r="J30" s="14" t="s">
        <v>616</v>
      </c>
      <c r="K30" s="14" t="s">
        <v>617</v>
      </c>
      <c r="L30" s="14" t="s">
        <v>618</v>
      </c>
      <c r="M30" s="14" t="s">
        <v>619</v>
      </c>
      <c r="N30" s="14" t="s">
        <v>377</v>
      </c>
      <c r="O30" s="14" t="s">
        <v>620</v>
      </c>
    </row>
    <row r="31" spans="1:15" ht="75" customHeight="1" x14ac:dyDescent="0.25">
      <c r="A31" s="20">
        <v>27</v>
      </c>
      <c r="B31" s="14" t="s">
        <v>635</v>
      </c>
      <c r="C31" s="14" t="s">
        <v>116</v>
      </c>
      <c r="D31" s="20" t="s">
        <v>85</v>
      </c>
      <c r="E31" s="14" t="s">
        <v>15</v>
      </c>
      <c r="F31" s="14" t="s">
        <v>636</v>
      </c>
      <c r="G31" s="21" t="s">
        <v>10</v>
      </c>
      <c r="H31" s="15">
        <v>0.5</v>
      </c>
      <c r="I31" s="14" t="s">
        <v>372</v>
      </c>
      <c r="J31" s="14" t="s">
        <v>637</v>
      </c>
      <c r="K31" s="14" t="s">
        <v>638</v>
      </c>
      <c r="L31" s="14" t="s">
        <v>639</v>
      </c>
      <c r="M31" s="14" t="s">
        <v>640</v>
      </c>
      <c r="N31" s="14" t="s">
        <v>377</v>
      </c>
      <c r="O31" s="14" t="s">
        <v>641</v>
      </c>
    </row>
    <row r="32" spans="1:15" ht="75" customHeight="1" x14ac:dyDescent="0.25">
      <c r="A32" s="20">
        <v>28</v>
      </c>
      <c r="B32" s="14" t="s">
        <v>655</v>
      </c>
      <c r="C32" s="14" t="s">
        <v>127</v>
      </c>
      <c r="D32" s="20" t="s">
        <v>85</v>
      </c>
      <c r="E32" s="14" t="s">
        <v>15</v>
      </c>
      <c r="F32" s="14" t="s">
        <v>656</v>
      </c>
      <c r="G32" s="21" t="s">
        <v>10</v>
      </c>
      <c r="H32" s="15">
        <v>0.5</v>
      </c>
      <c r="I32" s="14" t="s">
        <v>372</v>
      </c>
      <c r="J32" s="14" t="s">
        <v>657</v>
      </c>
      <c r="K32" s="14" t="s">
        <v>485</v>
      </c>
      <c r="L32" s="14" t="s">
        <v>658</v>
      </c>
      <c r="M32" s="14" t="s">
        <v>659</v>
      </c>
      <c r="N32" s="14" t="s">
        <v>377</v>
      </c>
      <c r="O32" s="14" t="s">
        <v>660</v>
      </c>
    </row>
    <row r="33" spans="1:15" ht="75" customHeight="1" x14ac:dyDescent="0.25">
      <c r="A33" s="20">
        <v>29</v>
      </c>
      <c r="B33" s="14" t="s">
        <v>703</v>
      </c>
      <c r="C33" s="14" t="s">
        <v>127</v>
      </c>
      <c r="D33" s="20" t="s">
        <v>85</v>
      </c>
      <c r="E33" s="14" t="s">
        <v>15</v>
      </c>
      <c r="F33" s="14" t="s">
        <v>483</v>
      </c>
      <c r="G33" s="21" t="s">
        <v>10</v>
      </c>
      <c r="H33" s="15">
        <v>0.5</v>
      </c>
      <c r="I33" s="14" t="s">
        <v>372</v>
      </c>
      <c r="J33" s="14" t="s">
        <v>704</v>
      </c>
      <c r="K33" s="14" t="s">
        <v>705</v>
      </c>
      <c r="L33" s="14" t="s">
        <v>706</v>
      </c>
      <c r="M33" s="14" t="s">
        <v>707</v>
      </c>
      <c r="N33" s="14" t="s">
        <v>377</v>
      </c>
      <c r="O33" s="14" t="s">
        <v>708</v>
      </c>
    </row>
    <row r="34" spans="1:15" ht="75" customHeight="1" x14ac:dyDescent="0.25">
      <c r="A34" s="20">
        <v>30</v>
      </c>
      <c r="B34" s="14" t="s">
        <v>749</v>
      </c>
      <c r="C34" s="14" t="s">
        <v>110</v>
      </c>
      <c r="D34" s="20" t="s">
        <v>85</v>
      </c>
      <c r="E34" s="14" t="s">
        <v>15</v>
      </c>
      <c r="F34" s="14" t="s">
        <v>750</v>
      </c>
      <c r="G34" s="21" t="s">
        <v>10</v>
      </c>
      <c r="H34" s="15">
        <v>0.45</v>
      </c>
      <c r="I34" s="14" t="s">
        <v>372</v>
      </c>
      <c r="J34" s="14" t="s">
        <v>751</v>
      </c>
      <c r="K34" s="14" t="s">
        <v>371</v>
      </c>
      <c r="L34" s="14" t="s">
        <v>465</v>
      </c>
      <c r="M34" s="14" t="s">
        <v>752</v>
      </c>
      <c r="N34" s="14" t="s">
        <v>377</v>
      </c>
      <c r="O34" s="14" t="s">
        <v>467</v>
      </c>
    </row>
    <row r="35" spans="1:15" ht="75" customHeight="1" x14ac:dyDescent="0.25">
      <c r="A35" s="20">
        <v>31</v>
      </c>
      <c r="B35" s="14" t="s">
        <v>814</v>
      </c>
      <c r="C35" s="14" t="s">
        <v>116</v>
      </c>
      <c r="D35" s="20" t="s">
        <v>85</v>
      </c>
      <c r="E35" s="14" t="s">
        <v>15</v>
      </c>
      <c r="F35" s="14" t="s">
        <v>815</v>
      </c>
      <c r="G35" s="21" t="s">
        <v>10</v>
      </c>
      <c r="H35" s="15">
        <v>0.35</v>
      </c>
      <c r="I35" s="14" t="s">
        <v>372</v>
      </c>
      <c r="J35" s="14" t="s">
        <v>816</v>
      </c>
      <c r="K35" s="14" t="s">
        <v>817</v>
      </c>
      <c r="L35" s="14" t="s">
        <v>818</v>
      </c>
      <c r="M35" s="14" t="s">
        <v>91</v>
      </c>
      <c r="N35" s="14" t="s">
        <v>377</v>
      </c>
      <c r="O35" s="14" t="s">
        <v>819</v>
      </c>
    </row>
    <row r="36" spans="1:15" ht="66" customHeight="1" x14ac:dyDescent="0.25">
      <c r="A36" s="20">
        <v>32</v>
      </c>
      <c r="B36" s="14" t="s">
        <v>820</v>
      </c>
      <c r="C36" s="14" t="s">
        <v>116</v>
      </c>
      <c r="D36" s="20" t="s">
        <v>85</v>
      </c>
      <c r="E36" s="14" t="s">
        <v>15</v>
      </c>
      <c r="F36" s="14" t="s">
        <v>821</v>
      </c>
      <c r="G36" s="21" t="s">
        <v>10</v>
      </c>
      <c r="H36" s="15">
        <v>0.35</v>
      </c>
      <c r="I36" s="14" t="s">
        <v>87</v>
      </c>
      <c r="J36" s="14" t="s">
        <v>822</v>
      </c>
      <c r="K36" s="14" t="s">
        <v>823</v>
      </c>
      <c r="L36" s="14" t="s">
        <v>824</v>
      </c>
      <c r="M36" s="14" t="s">
        <v>91</v>
      </c>
      <c r="N36" s="14" t="s">
        <v>377</v>
      </c>
      <c r="O36" s="14" t="s">
        <v>825</v>
      </c>
    </row>
    <row r="37" spans="1:15" ht="75" customHeight="1" x14ac:dyDescent="0.25">
      <c r="A37" s="20">
        <v>33</v>
      </c>
      <c r="B37" s="14" t="s">
        <v>846</v>
      </c>
      <c r="C37" s="14" t="s">
        <v>116</v>
      </c>
      <c r="D37" s="20" t="s">
        <v>85</v>
      </c>
      <c r="E37" s="14" t="s">
        <v>15</v>
      </c>
      <c r="F37" s="14" t="s">
        <v>847</v>
      </c>
      <c r="G37" s="21" t="s">
        <v>10</v>
      </c>
      <c r="H37" s="15">
        <v>0.35</v>
      </c>
      <c r="I37" s="14" t="s">
        <v>425</v>
      </c>
      <c r="J37" s="14" t="s">
        <v>848</v>
      </c>
      <c r="K37" s="14" t="s">
        <v>371</v>
      </c>
      <c r="L37" s="14" t="s">
        <v>849</v>
      </c>
      <c r="M37" s="14" t="s">
        <v>91</v>
      </c>
      <c r="N37" s="14" t="s">
        <v>377</v>
      </c>
      <c r="O37" s="14" t="s">
        <v>850</v>
      </c>
    </row>
    <row r="38" spans="1:15" ht="75" customHeight="1" x14ac:dyDescent="0.25">
      <c r="A38" s="20">
        <v>34</v>
      </c>
      <c r="B38" s="14" t="s">
        <v>873</v>
      </c>
      <c r="C38" s="14" t="s">
        <v>116</v>
      </c>
      <c r="D38" s="20" t="s">
        <v>85</v>
      </c>
      <c r="E38" s="14" t="s">
        <v>15</v>
      </c>
      <c r="F38" s="14" t="s">
        <v>874</v>
      </c>
      <c r="G38" s="21" t="s">
        <v>10</v>
      </c>
      <c r="H38" s="15">
        <v>0.3</v>
      </c>
      <c r="I38" s="14" t="s">
        <v>372</v>
      </c>
      <c r="J38" s="14" t="s">
        <v>875</v>
      </c>
      <c r="K38" s="14" t="s">
        <v>876</v>
      </c>
      <c r="L38" s="14" t="s">
        <v>877</v>
      </c>
      <c r="M38" s="14" t="s">
        <v>640</v>
      </c>
      <c r="N38" s="14" t="s">
        <v>377</v>
      </c>
      <c r="O38" s="14" t="s">
        <v>685</v>
      </c>
    </row>
    <row r="39" spans="1:15" ht="75" customHeight="1" x14ac:dyDescent="0.25">
      <c r="A39" s="20">
        <v>35</v>
      </c>
      <c r="B39" s="14" t="s">
        <v>896</v>
      </c>
      <c r="C39" s="14" t="s">
        <v>110</v>
      </c>
      <c r="D39" s="20" t="s">
        <v>85</v>
      </c>
      <c r="E39" s="14" t="s">
        <v>15</v>
      </c>
      <c r="F39" s="14" t="s">
        <v>897</v>
      </c>
      <c r="G39" s="21" t="s">
        <v>10</v>
      </c>
      <c r="H39" s="15">
        <v>0.3</v>
      </c>
      <c r="I39" s="14" t="s">
        <v>425</v>
      </c>
      <c r="J39" s="14" t="s">
        <v>898</v>
      </c>
      <c r="K39" s="14" t="s">
        <v>371</v>
      </c>
      <c r="L39" s="14" t="s">
        <v>899</v>
      </c>
      <c r="M39" s="14" t="s">
        <v>91</v>
      </c>
      <c r="N39" s="14" t="s">
        <v>377</v>
      </c>
      <c r="O39" s="14" t="s">
        <v>900</v>
      </c>
    </row>
    <row r="40" spans="1:15" ht="75" customHeight="1" x14ac:dyDescent="0.25">
      <c r="A40" s="20">
        <v>36</v>
      </c>
      <c r="B40" s="14" t="s">
        <v>914</v>
      </c>
      <c r="C40" s="14" t="s">
        <v>110</v>
      </c>
      <c r="D40" s="20" t="s">
        <v>85</v>
      </c>
      <c r="E40" s="14" t="s">
        <v>15</v>
      </c>
      <c r="F40" s="14" t="s">
        <v>915</v>
      </c>
      <c r="G40" s="21" t="s">
        <v>10</v>
      </c>
      <c r="H40" s="15">
        <v>0.3</v>
      </c>
      <c r="I40" s="14" t="s">
        <v>372</v>
      </c>
      <c r="J40" s="14" t="s">
        <v>916</v>
      </c>
      <c r="K40" s="14" t="s">
        <v>371</v>
      </c>
      <c r="L40" s="14" t="s">
        <v>917</v>
      </c>
      <c r="M40" s="14" t="s">
        <v>91</v>
      </c>
      <c r="N40" s="14" t="s">
        <v>377</v>
      </c>
      <c r="O40" s="14" t="s">
        <v>467</v>
      </c>
    </row>
    <row r="41" spans="1:15" ht="75" customHeight="1" x14ac:dyDescent="0.25">
      <c r="A41" s="20">
        <v>37</v>
      </c>
      <c r="B41" s="14" t="s">
        <v>918</v>
      </c>
      <c r="C41" s="14" t="s">
        <v>116</v>
      </c>
      <c r="D41" s="20" t="s">
        <v>85</v>
      </c>
      <c r="E41" s="14" t="s">
        <v>15</v>
      </c>
      <c r="F41" s="14" t="s">
        <v>919</v>
      </c>
      <c r="G41" s="21" t="s">
        <v>10</v>
      </c>
      <c r="H41" s="15">
        <v>0.3</v>
      </c>
      <c r="I41" s="14" t="s">
        <v>372</v>
      </c>
      <c r="J41" s="14" t="s">
        <v>920</v>
      </c>
      <c r="K41" s="14" t="s">
        <v>921</v>
      </c>
      <c r="L41" s="14" t="s">
        <v>922</v>
      </c>
      <c r="M41" s="14" t="s">
        <v>91</v>
      </c>
      <c r="N41" s="14" t="s">
        <v>377</v>
      </c>
      <c r="O41" s="14" t="s">
        <v>923</v>
      </c>
    </row>
    <row r="42" spans="1:15" ht="75" customHeight="1" x14ac:dyDescent="0.25">
      <c r="A42" s="20">
        <v>38</v>
      </c>
      <c r="B42" s="14" t="s">
        <v>942</v>
      </c>
      <c r="C42" s="14" t="s">
        <v>127</v>
      </c>
      <c r="D42" s="20" t="s">
        <v>85</v>
      </c>
      <c r="E42" s="14" t="s">
        <v>15</v>
      </c>
      <c r="F42" s="14" t="s">
        <v>943</v>
      </c>
      <c r="G42" s="21" t="s">
        <v>10</v>
      </c>
      <c r="H42" s="15">
        <v>0.3</v>
      </c>
      <c r="I42" s="14" t="s">
        <v>372</v>
      </c>
      <c r="J42" s="14" t="s">
        <v>944</v>
      </c>
      <c r="K42" s="14" t="s">
        <v>945</v>
      </c>
      <c r="L42" s="14" t="s">
        <v>946</v>
      </c>
      <c r="M42" s="14" t="s">
        <v>91</v>
      </c>
      <c r="N42" s="14" t="s">
        <v>377</v>
      </c>
      <c r="O42" s="14" t="s">
        <v>947</v>
      </c>
    </row>
    <row r="43" spans="1:15" ht="78" customHeight="1" x14ac:dyDescent="0.25">
      <c r="A43" s="20">
        <v>39</v>
      </c>
      <c r="B43" s="14" t="s">
        <v>969</v>
      </c>
      <c r="C43" s="14" t="s">
        <v>110</v>
      </c>
      <c r="D43" s="20" t="s">
        <v>85</v>
      </c>
      <c r="E43" s="14" t="s">
        <v>15</v>
      </c>
      <c r="F43" s="14" t="s">
        <v>970</v>
      </c>
      <c r="G43" s="21" t="s">
        <v>10</v>
      </c>
      <c r="H43" s="15">
        <v>0.3</v>
      </c>
      <c r="I43" s="14" t="s">
        <v>87</v>
      </c>
      <c r="J43" s="14" t="s">
        <v>971</v>
      </c>
      <c r="K43" s="14" t="s">
        <v>972</v>
      </c>
      <c r="L43" s="14" t="s">
        <v>973</v>
      </c>
      <c r="M43" s="14" t="s">
        <v>91</v>
      </c>
      <c r="N43" s="14" t="s">
        <v>377</v>
      </c>
      <c r="O43" s="14" t="s">
        <v>974</v>
      </c>
    </row>
    <row r="44" spans="1:15" ht="75" customHeight="1" x14ac:dyDescent="0.25">
      <c r="A44" s="20">
        <v>40</v>
      </c>
      <c r="B44" s="14" t="s">
        <v>975</v>
      </c>
      <c r="C44" s="14" t="s">
        <v>127</v>
      </c>
      <c r="D44" s="20" t="s">
        <v>85</v>
      </c>
      <c r="E44" s="14" t="s">
        <v>15</v>
      </c>
      <c r="F44" s="14" t="s">
        <v>259</v>
      </c>
      <c r="G44" s="21" t="s">
        <v>10</v>
      </c>
      <c r="H44" s="15">
        <v>0.3</v>
      </c>
      <c r="I44" s="14" t="s">
        <v>372</v>
      </c>
      <c r="J44" s="14" t="s">
        <v>976</v>
      </c>
      <c r="K44" s="14" t="s">
        <v>485</v>
      </c>
      <c r="L44" s="14" t="s">
        <v>977</v>
      </c>
      <c r="M44" s="14" t="s">
        <v>91</v>
      </c>
      <c r="N44" s="14" t="s">
        <v>377</v>
      </c>
      <c r="O44" s="14" t="s">
        <v>978</v>
      </c>
    </row>
    <row r="45" spans="1:15" ht="75" customHeight="1" x14ac:dyDescent="0.25">
      <c r="A45" s="20">
        <v>41</v>
      </c>
      <c r="B45" s="14" t="s">
        <v>1045</v>
      </c>
      <c r="C45" s="14" t="s">
        <v>127</v>
      </c>
      <c r="D45" s="20" t="s">
        <v>85</v>
      </c>
      <c r="E45" s="14" t="s">
        <v>15</v>
      </c>
      <c r="F45" s="14" t="s">
        <v>259</v>
      </c>
      <c r="G45" s="21" t="s">
        <v>10</v>
      </c>
      <c r="H45" s="15">
        <v>0.25</v>
      </c>
      <c r="I45" s="14" t="s">
        <v>372</v>
      </c>
      <c r="J45" s="14" t="s">
        <v>1046</v>
      </c>
      <c r="K45" s="14" t="s">
        <v>485</v>
      </c>
      <c r="L45" s="14" t="s">
        <v>1047</v>
      </c>
      <c r="M45" s="14" t="s">
        <v>91</v>
      </c>
      <c r="N45" s="14" t="s">
        <v>377</v>
      </c>
      <c r="O45" s="14" t="s">
        <v>1048</v>
      </c>
    </row>
    <row r="46" spans="1:15" ht="75" customHeight="1" x14ac:dyDescent="0.25">
      <c r="A46" s="20">
        <v>42</v>
      </c>
      <c r="B46" s="14" t="s">
        <v>1171</v>
      </c>
      <c r="C46" s="14" t="s">
        <v>127</v>
      </c>
      <c r="D46" s="20" t="s">
        <v>85</v>
      </c>
      <c r="E46" s="14" t="s">
        <v>15</v>
      </c>
      <c r="F46" s="14" t="s">
        <v>1172</v>
      </c>
      <c r="G46" s="21" t="s">
        <v>10</v>
      </c>
      <c r="H46" s="15">
        <v>0.1</v>
      </c>
      <c r="I46" s="14" t="s">
        <v>372</v>
      </c>
      <c r="J46" s="14" t="s">
        <v>1173</v>
      </c>
      <c r="K46" s="14" t="s">
        <v>485</v>
      </c>
      <c r="L46" s="14" t="s">
        <v>1174</v>
      </c>
      <c r="M46" s="14" t="s">
        <v>1175</v>
      </c>
      <c r="N46" s="14" t="s">
        <v>377</v>
      </c>
      <c r="O46" s="14" t="s">
        <v>1176</v>
      </c>
    </row>
    <row r="47" spans="1:15" ht="75" customHeight="1" x14ac:dyDescent="0.25">
      <c r="A47" s="20">
        <v>43</v>
      </c>
      <c r="B47" s="14" t="s">
        <v>1184</v>
      </c>
      <c r="C47" s="14" t="s">
        <v>127</v>
      </c>
      <c r="D47" s="20" t="s">
        <v>85</v>
      </c>
      <c r="E47" s="14" t="s">
        <v>15</v>
      </c>
      <c r="F47" s="14" t="s">
        <v>259</v>
      </c>
      <c r="G47" s="21" t="s">
        <v>10</v>
      </c>
      <c r="H47" s="15">
        <v>0.1</v>
      </c>
      <c r="I47" s="14" t="s">
        <v>372</v>
      </c>
      <c r="J47" s="14" t="s">
        <v>1185</v>
      </c>
      <c r="K47" s="14" t="s">
        <v>371</v>
      </c>
      <c r="L47" s="14" t="s">
        <v>1186</v>
      </c>
      <c r="M47" s="14" t="s">
        <v>91</v>
      </c>
      <c r="N47" s="14" t="s">
        <v>377</v>
      </c>
      <c r="O47" s="14" t="s">
        <v>1187</v>
      </c>
    </row>
    <row r="48" spans="1:15" ht="75" customHeight="1" x14ac:dyDescent="0.25">
      <c r="A48" s="20">
        <v>44</v>
      </c>
      <c r="B48" s="14" t="s">
        <v>1221</v>
      </c>
      <c r="C48" s="14" t="s">
        <v>1222</v>
      </c>
      <c r="D48" s="20" t="s">
        <v>85</v>
      </c>
      <c r="E48" s="14" t="s">
        <v>15</v>
      </c>
      <c r="F48" s="14" t="s">
        <v>1223</v>
      </c>
      <c r="G48" s="21" t="s">
        <v>10</v>
      </c>
      <c r="H48" s="15">
        <v>0.05</v>
      </c>
      <c r="I48" s="14" t="s">
        <v>372</v>
      </c>
      <c r="J48" s="14" t="s">
        <v>1224</v>
      </c>
      <c r="K48" s="14" t="s">
        <v>1225</v>
      </c>
      <c r="L48" s="14" t="s">
        <v>1226</v>
      </c>
      <c r="M48" s="14" t="s">
        <v>1227</v>
      </c>
      <c r="N48" s="14" t="s">
        <v>377</v>
      </c>
      <c r="O48" s="14" t="s">
        <v>1228</v>
      </c>
    </row>
    <row r="49" spans="1:15" ht="75" customHeight="1" x14ac:dyDescent="0.25">
      <c r="A49" s="20">
        <v>45</v>
      </c>
      <c r="B49" s="14" t="s">
        <v>1229</v>
      </c>
      <c r="C49" s="14" t="s">
        <v>116</v>
      </c>
      <c r="D49" s="20" t="s">
        <v>85</v>
      </c>
      <c r="E49" s="14" t="s">
        <v>15</v>
      </c>
      <c r="F49" s="14" t="s">
        <v>1230</v>
      </c>
      <c r="G49" s="21" t="s">
        <v>10</v>
      </c>
      <c r="H49" s="15">
        <v>0.02</v>
      </c>
      <c r="I49" s="14" t="s">
        <v>372</v>
      </c>
      <c r="J49" s="14" t="s">
        <v>1231</v>
      </c>
      <c r="K49" s="14" t="s">
        <v>1232</v>
      </c>
      <c r="L49" s="14" t="s">
        <v>1233</v>
      </c>
      <c r="M49" s="14" t="s">
        <v>1234</v>
      </c>
      <c r="N49" s="14" t="s">
        <v>377</v>
      </c>
      <c r="O49" s="14" t="s">
        <v>1235</v>
      </c>
    </row>
  </sheetData>
  <autoFilter ref="A4:O49" xr:uid="{00000000-0009-0000-0000-000003000000}"/>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38"/>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1250</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102" customHeight="1" x14ac:dyDescent="0.25">
      <c r="A5" s="20">
        <v>1</v>
      </c>
      <c r="B5" s="14" t="s">
        <v>29</v>
      </c>
      <c r="C5" s="14" t="s">
        <v>84</v>
      </c>
      <c r="D5" s="20" t="s">
        <v>98</v>
      </c>
      <c r="E5" s="14" t="s">
        <v>16</v>
      </c>
      <c r="F5" s="14" t="s">
        <v>99</v>
      </c>
      <c r="G5" s="16" t="s">
        <v>6</v>
      </c>
      <c r="H5" s="15">
        <v>0.8</v>
      </c>
      <c r="I5" s="14" t="s">
        <v>87</v>
      </c>
      <c r="J5" s="14" t="s">
        <v>100</v>
      </c>
      <c r="K5" s="14" t="s">
        <v>101</v>
      </c>
      <c r="L5" s="14" t="s">
        <v>102</v>
      </c>
      <c r="M5" s="14" t="s">
        <v>91</v>
      </c>
      <c r="N5" s="14" t="s">
        <v>30</v>
      </c>
      <c r="O5" s="14" t="s">
        <v>103</v>
      </c>
    </row>
    <row r="6" spans="1:15" ht="90" customHeight="1" x14ac:dyDescent="0.25">
      <c r="A6" s="20">
        <v>2</v>
      </c>
      <c r="B6" s="14" t="s">
        <v>216</v>
      </c>
      <c r="C6" s="14" t="s">
        <v>110</v>
      </c>
      <c r="D6" s="20" t="s">
        <v>98</v>
      </c>
      <c r="E6" s="14" t="s">
        <v>16</v>
      </c>
      <c r="F6" s="14" t="s">
        <v>217</v>
      </c>
      <c r="G6" s="17" t="s">
        <v>8</v>
      </c>
      <c r="H6" s="15">
        <v>0.5</v>
      </c>
      <c r="I6" s="14" t="s">
        <v>87</v>
      </c>
      <c r="J6" s="14" t="s">
        <v>218</v>
      </c>
      <c r="K6" s="14" t="s">
        <v>219</v>
      </c>
      <c r="L6" s="14" t="s">
        <v>220</v>
      </c>
      <c r="M6" s="14" t="s">
        <v>91</v>
      </c>
      <c r="N6" s="14" t="s">
        <v>221</v>
      </c>
      <c r="O6" s="14" t="s">
        <v>222</v>
      </c>
    </row>
    <row r="7" spans="1:15" ht="102" customHeight="1" x14ac:dyDescent="0.25">
      <c r="A7" s="20">
        <v>3</v>
      </c>
      <c r="B7" s="14" t="s">
        <v>223</v>
      </c>
      <c r="C7" s="14" t="s">
        <v>116</v>
      </c>
      <c r="D7" s="20" t="s">
        <v>98</v>
      </c>
      <c r="E7" s="14" t="s">
        <v>16</v>
      </c>
      <c r="F7" s="14" t="s">
        <v>224</v>
      </c>
      <c r="G7" s="17" t="s">
        <v>8</v>
      </c>
      <c r="H7" s="15">
        <v>0.5</v>
      </c>
      <c r="I7" s="14" t="s">
        <v>87</v>
      </c>
      <c r="J7" s="14" t="s">
        <v>225</v>
      </c>
      <c r="K7" s="14" t="s">
        <v>226</v>
      </c>
      <c r="L7" s="14" t="s">
        <v>227</v>
      </c>
      <c r="M7" s="14" t="s">
        <v>91</v>
      </c>
      <c r="N7" s="14" t="s">
        <v>228</v>
      </c>
      <c r="O7" s="14" t="s">
        <v>229</v>
      </c>
    </row>
    <row r="8" spans="1:15" ht="66" customHeight="1" x14ac:dyDescent="0.25">
      <c r="A8" s="20">
        <v>4</v>
      </c>
      <c r="B8" s="14" t="s">
        <v>286</v>
      </c>
      <c r="C8" s="14" t="s">
        <v>116</v>
      </c>
      <c r="D8" s="20" t="s">
        <v>98</v>
      </c>
      <c r="E8" s="14" t="s">
        <v>16</v>
      </c>
      <c r="F8" s="14" t="s">
        <v>287</v>
      </c>
      <c r="G8" s="17" t="s">
        <v>8</v>
      </c>
      <c r="H8" s="15">
        <v>0.4</v>
      </c>
      <c r="I8" s="14" t="s">
        <v>87</v>
      </c>
      <c r="J8" s="14" t="s">
        <v>288</v>
      </c>
      <c r="K8" s="14" t="s">
        <v>289</v>
      </c>
      <c r="L8" s="14" t="s">
        <v>290</v>
      </c>
      <c r="M8" s="14" t="s">
        <v>91</v>
      </c>
      <c r="N8" s="14" t="s">
        <v>291</v>
      </c>
      <c r="O8" s="14" t="s">
        <v>292</v>
      </c>
    </row>
    <row r="9" spans="1:15" ht="90" customHeight="1" x14ac:dyDescent="0.25">
      <c r="A9" s="20">
        <v>5</v>
      </c>
      <c r="B9" s="14" t="s">
        <v>300</v>
      </c>
      <c r="C9" s="14" t="s">
        <v>110</v>
      </c>
      <c r="D9" s="20" t="s">
        <v>98</v>
      </c>
      <c r="E9" s="14" t="s">
        <v>16</v>
      </c>
      <c r="F9" s="14" t="s">
        <v>301</v>
      </c>
      <c r="G9" s="17" t="s">
        <v>8</v>
      </c>
      <c r="H9" s="15">
        <v>0.4</v>
      </c>
      <c r="I9" s="14" t="s">
        <v>87</v>
      </c>
      <c r="J9" s="14" t="s">
        <v>302</v>
      </c>
      <c r="K9" s="14" t="s">
        <v>303</v>
      </c>
      <c r="L9" s="14" t="s">
        <v>304</v>
      </c>
      <c r="M9" s="14" t="s">
        <v>91</v>
      </c>
      <c r="N9" s="14" t="s">
        <v>305</v>
      </c>
      <c r="O9" s="14" t="s">
        <v>306</v>
      </c>
    </row>
    <row r="10" spans="1:15" ht="75" customHeight="1" x14ac:dyDescent="0.25">
      <c r="A10" s="20">
        <v>6</v>
      </c>
      <c r="B10" s="14" t="s">
        <v>495</v>
      </c>
      <c r="C10" s="14" t="s">
        <v>110</v>
      </c>
      <c r="D10" s="20" t="s">
        <v>98</v>
      </c>
      <c r="E10" s="14" t="s">
        <v>16</v>
      </c>
      <c r="F10" s="14" t="s">
        <v>496</v>
      </c>
      <c r="G10" s="21" t="s">
        <v>10</v>
      </c>
      <c r="H10" s="15">
        <v>0.65</v>
      </c>
      <c r="I10" s="14" t="s">
        <v>372</v>
      </c>
      <c r="J10" s="14" t="s">
        <v>497</v>
      </c>
      <c r="K10" s="14" t="s">
        <v>498</v>
      </c>
      <c r="L10" s="14" t="s">
        <v>499</v>
      </c>
      <c r="M10" s="14" t="s">
        <v>500</v>
      </c>
      <c r="N10" s="14" t="s">
        <v>377</v>
      </c>
      <c r="O10" s="14" t="s">
        <v>501</v>
      </c>
    </row>
    <row r="11" spans="1:15" ht="75" customHeight="1" x14ac:dyDescent="0.25">
      <c r="A11" s="20">
        <v>7</v>
      </c>
      <c r="B11" s="14" t="s">
        <v>527</v>
      </c>
      <c r="C11" s="14" t="s">
        <v>110</v>
      </c>
      <c r="D11" s="20" t="s">
        <v>98</v>
      </c>
      <c r="E11" s="14" t="s">
        <v>16</v>
      </c>
      <c r="F11" s="14" t="s">
        <v>528</v>
      </c>
      <c r="G11" s="21" t="s">
        <v>10</v>
      </c>
      <c r="H11" s="15">
        <v>0.65</v>
      </c>
      <c r="I11" s="14" t="s">
        <v>372</v>
      </c>
      <c r="J11" s="14" t="s">
        <v>529</v>
      </c>
      <c r="K11" s="14" t="s">
        <v>530</v>
      </c>
      <c r="L11" s="14" t="s">
        <v>531</v>
      </c>
      <c r="M11" s="14" t="s">
        <v>532</v>
      </c>
      <c r="N11" s="14" t="s">
        <v>377</v>
      </c>
      <c r="O11" s="14" t="s">
        <v>533</v>
      </c>
    </row>
    <row r="12" spans="1:15" ht="75" customHeight="1" x14ac:dyDescent="0.25">
      <c r="A12" s="20">
        <v>8</v>
      </c>
      <c r="B12" s="14" t="s">
        <v>602</v>
      </c>
      <c r="C12" s="14" t="s">
        <v>110</v>
      </c>
      <c r="D12" s="20" t="s">
        <v>98</v>
      </c>
      <c r="E12" s="14" t="s">
        <v>16</v>
      </c>
      <c r="F12" s="14" t="s">
        <v>603</v>
      </c>
      <c r="G12" s="21" t="s">
        <v>10</v>
      </c>
      <c r="H12" s="15">
        <v>0.55000000000000004</v>
      </c>
      <c r="I12" s="14" t="s">
        <v>372</v>
      </c>
      <c r="J12" s="14" t="s">
        <v>604</v>
      </c>
      <c r="K12" s="14" t="s">
        <v>605</v>
      </c>
      <c r="L12" s="14" t="s">
        <v>606</v>
      </c>
      <c r="M12" s="14" t="s">
        <v>607</v>
      </c>
      <c r="N12" s="14" t="s">
        <v>377</v>
      </c>
      <c r="O12" s="14" t="s">
        <v>608</v>
      </c>
    </row>
    <row r="13" spans="1:15" ht="75" customHeight="1" x14ac:dyDescent="0.25">
      <c r="A13" s="20">
        <v>9</v>
      </c>
      <c r="B13" s="14" t="s">
        <v>642</v>
      </c>
      <c r="C13" s="14" t="s">
        <v>110</v>
      </c>
      <c r="D13" s="20" t="s">
        <v>98</v>
      </c>
      <c r="E13" s="14" t="s">
        <v>16</v>
      </c>
      <c r="F13" s="14" t="s">
        <v>643</v>
      </c>
      <c r="G13" s="21" t="s">
        <v>10</v>
      </c>
      <c r="H13" s="15">
        <v>0.5</v>
      </c>
      <c r="I13" s="14" t="s">
        <v>372</v>
      </c>
      <c r="J13" s="14" t="s">
        <v>644</v>
      </c>
      <c r="K13" s="14" t="s">
        <v>645</v>
      </c>
      <c r="L13" s="14" t="s">
        <v>646</v>
      </c>
      <c r="M13" s="14" t="s">
        <v>647</v>
      </c>
      <c r="N13" s="14" t="s">
        <v>377</v>
      </c>
      <c r="O13" s="14" t="s">
        <v>648</v>
      </c>
    </row>
    <row r="14" spans="1:15" ht="75" customHeight="1" x14ac:dyDescent="0.25">
      <c r="A14" s="20">
        <v>10</v>
      </c>
      <c r="B14" s="14" t="s">
        <v>665</v>
      </c>
      <c r="C14" s="14" t="s">
        <v>110</v>
      </c>
      <c r="D14" s="20" t="s">
        <v>98</v>
      </c>
      <c r="E14" s="14" t="s">
        <v>16</v>
      </c>
      <c r="F14" s="14" t="s">
        <v>666</v>
      </c>
      <c r="G14" s="21" t="s">
        <v>10</v>
      </c>
      <c r="H14" s="15">
        <v>0.5</v>
      </c>
      <c r="I14" s="14" t="s">
        <v>372</v>
      </c>
      <c r="J14" s="14" t="s">
        <v>667</v>
      </c>
      <c r="K14" s="14" t="s">
        <v>668</v>
      </c>
      <c r="L14" s="14" t="s">
        <v>669</v>
      </c>
      <c r="M14" s="14" t="s">
        <v>670</v>
      </c>
      <c r="N14" s="14" t="s">
        <v>377</v>
      </c>
      <c r="O14" s="14" t="s">
        <v>671</v>
      </c>
    </row>
    <row r="15" spans="1:15" ht="75" customHeight="1" x14ac:dyDescent="0.25">
      <c r="A15" s="20">
        <v>11</v>
      </c>
      <c r="B15" s="14" t="s">
        <v>709</v>
      </c>
      <c r="C15" s="14" t="s">
        <v>84</v>
      </c>
      <c r="D15" s="20" t="s">
        <v>98</v>
      </c>
      <c r="E15" s="14" t="s">
        <v>16</v>
      </c>
      <c r="F15" s="14" t="s">
        <v>710</v>
      </c>
      <c r="G15" s="21" t="s">
        <v>10</v>
      </c>
      <c r="H15" s="15">
        <v>0.5</v>
      </c>
      <c r="I15" s="14" t="s">
        <v>425</v>
      </c>
      <c r="J15" s="14" t="s">
        <v>711</v>
      </c>
      <c r="K15" s="14" t="s">
        <v>712</v>
      </c>
      <c r="L15" s="14" t="s">
        <v>713</v>
      </c>
      <c r="M15" s="14" t="s">
        <v>91</v>
      </c>
      <c r="N15" s="14" t="s">
        <v>377</v>
      </c>
      <c r="O15" s="14" t="s">
        <v>714</v>
      </c>
    </row>
    <row r="16" spans="1:15" ht="75" customHeight="1" x14ac:dyDescent="0.25">
      <c r="A16" s="20">
        <v>12</v>
      </c>
      <c r="B16" s="14" t="s">
        <v>766</v>
      </c>
      <c r="C16" s="14" t="s">
        <v>110</v>
      </c>
      <c r="D16" s="20" t="s">
        <v>98</v>
      </c>
      <c r="E16" s="14" t="s">
        <v>16</v>
      </c>
      <c r="F16" s="14" t="s">
        <v>767</v>
      </c>
      <c r="G16" s="21" t="s">
        <v>10</v>
      </c>
      <c r="H16" s="15">
        <v>0.4</v>
      </c>
      <c r="I16" s="14" t="s">
        <v>372</v>
      </c>
      <c r="J16" s="14" t="s">
        <v>768</v>
      </c>
      <c r="K16" s="14" t="s">
        <v>769</v>
      </c>
      <c r="L16" s="14" t="s">
        <v>770</v>
      </c>
      <c r="M16" s="14" t="s">
        <v>771</v>
      </c>
      <c r="N16" s="14" t="s">
        <v>377</v>
      </c>
      <c r="O16" s="14" t="s">
        <v>772</v>
      </c>
    </row>
    <row r="17" spans="1:15" ht="75" customHeight="1" x14ac:dyDescent="0.25">
      <c r="A17" s="20">
        <v>13</v>
      </c>
      <c r="B17" s="14" t="s">
        <v>798</v>
      </c>
      <c r="C17" s="14" t="s">
        <v>110</v>
      </c>
      <c r="D17" s="20" t="s">
        <v>98</v>
      </c>
      <c r="E17" s="14" t="s">
        <v>16</v>
      </c>
      <c r="F17" s="14" t="s">
        <v>799</v>
      </c>
      <c r="G17" s="21" t="s">
        <v>10</v>
      </c>
      <c r="H17" s="15">
        <v>0.35</v>
      </c>
      <c r="I17" s="14" t="s">
        <v>372</v>
      </c>
      <c r="J17" s="14" t="s">
        <v>800</v>
      </c>
      <c r="K17" s="14" t="s">
        <v>801</v>
      </c>
      <c r="L17" s="14" t="s">
        <v>802</v>
      </c>
      <c r="M17" s="14" t="s">
        <v>91</v>
      </c>
      <c r="N17" s="14" t="s">
        <v>377</v>
      </c>
      <c r="O17" s="14" t="s">
        <v>803</v>
      </c>
    </row>
    <row r="18" spans="1:15" ht="75" customHeight="1" x14ac:dyDescent="0.25">
      <c r="A18" s="20">
        <v>14</v>
      </c>
      <c r="B18" s="14" t="s">
        <v>839</v>
      </c>
      <c r="C18" s="14" t="s">
        <v>110</v>
      </c>
      <c r="D18" s="20" t="s">
        <v>98</v>
      </c>
      <c r="E18" s="14" t="s">
        <v>16</v>
      </c>
      <c r="F18" s="14" t="s">
        <v>840</v>
      </c>
      <c r="G18" s="21" t="s">
        <v>10</v>
      </c>
      <c r="H18" s="15">
        <v>0.35</v>
      </c>
      <c r="I18" s="14" t="s">
        <v>372</v>
      </c>
      <c r="J18" s="14" t="s">
        <v>841</v>
      </c>
      <c r="K18" s="14" t="s">
        <v>842</v>
      </c>
      <c r="L18" s="14" t="s">
        <v>843</v>
      </c>
      <c r="M18" s="14" t="s">
        <v>844</v>
      </c>
      <c r="N18" s="14" t="s">
        <v>377</v>
      </c>
      <c r="O18" s="14" t="s">
        <v>845</v>
      </c>
    </row>
    <row r="19" spans="1:15" ht="75" customHeight="1" x14ac:dyDescent="0.25">
      <c r="A19" s="20">
        <v>15</v>
      </c>
      <c r="B19" s="14" t="s">
        <v>878</v>
      </c>
      <c r="C19" s="14" t="s">
        <v>110</v>
      </c>
      <c r="D19" s="20" t="s">
        <v>98</v>
      </c>
      <c r="E19" s="14" t="s">
        <v>16</v>
      </c>
      <c r="F19" s="14" t="s">
        <v>879</v>
      </c>
      <c r="G19" s="21" t="s">
        <v>10</v>
      </c>
      <c r="H19" s="15">
        <v>0.3</v>
      </c>
      <c r="I19" s="14" t="s">
        <v>372</v>
      </c>
      <c r="J19" s="14" t="s">
        <v>880</v>
      </c>
      <c r="K19" s="14" t="s">
        <v>881</v>
      </c>
      <c r="L19" s="14" t="s">
        <v>882</v>
      </c>
      <c r="M19" s="14" t="s">
        <v>91</v>
      </c>
      <c r="N19" s="14" t="s">
        <v>377</v>
      </c>
      <c r="O19" s="14" t="s">
        <v>883</v>
      </c>
    </row>
    <row r="20" spans="1:15" ht="75" customHeight="1" x14ac:dyDescent="0.25">
      <c r="A20" s="20">
        <v>16</v>
      </c>
      <c r="B20" s="14" t="s">
        <v>884</v>
      </c>
      <c r="C20" s="14" t="s">
        <v>110</v>
      </c>
      <c r="D20" s="20" t="s">
        <v>98</v>
      </c>
      <c r="E20" s="14" t="s">
        <v>16</v>
      </c>
      <c r="F20" s="14" t="s">
        <v>885</v>
      </c>
      <c r="G20" s="21" t="s">
        <v>10</v>
      </c>
      <c r="H20" s="15">
        <v>0.3</v>
      </c>
      <c r="I20" s="14" t="s">
        <v>372</v>
      </c>
      <c r="J20" s="14" t="s">
        <v>886</v>
      </c>
      <c r="K20" s="14" t="s">
        <v>887</v>
      </c>
      <c r="L20" s="14" t="s">
        <v>888</v>
      </c>
      <c r="M20" s="14" t="s">
        <v>91</v>
      </c>
      <c r="N20" s="14" t="s">
        <v>377</v>
      </c>
      <c r="O20" s="14" t="s">
        <v>889</v>
      </c>
    </row>
    <row r="21" spans="1:15" ht="75" customHeight="1" x14ac:dyDescent="0.25">
      <c r="A21" s="20">
        <v>17</v>
      </c>
      <c r="B21" s="14" t="s">
        <v>948</v>
      </c>
      <c r="C21" s="14" t="s">
        <v>110</v>
      </c>
      <c r="D21" s="20" t="s">
        <v>98</v>
      </c>
      <c r="E21" s="14" t="s">
        <v>16</v>
      </c>
      <c r="F21" s="14" t="s">
        <v>949</v>
      </c>
      <c r="G21" s="21" t="s">
        <v>10</v>
      </c>
      <c r="H21" s="15">
        <v>0.3</v>
      </c>
      <c r="I21" s="14" t="s">
        <v>425</v>
      </c>
      <c r="J21" s="14" t="s">
        <v>950</v>
      </c>
      <c r="K21" s="14" t="s">
        <v>951</v>
      </c>
      <c r="L21" s="14" t="s">
        <v>952</v>
      </c>
      <c r="M21" s="14" t="s">
        <v>91</v>
      </c>
      <c r="N21" s="14" t="s">
        <v>377</v>
      </c>
      <c r="O21" s="14" t="s">
        <v>953</v>
      </c>
    </row>
    <row r="22" spans="1:15" ht="75" customHeight="1" x14ac:dyDescent="0.25">
      <c r="A22" s="20">
        <v>18</v>
      </c>
      <c r="B22" s="14" t="s">
        <v>954</v>
      </c>
      <c r="C22" s="14" t="s">
        <v>110</v>
      </c>
      <c r="D22" s="20" t="s">
        <v>98</v>
      </c>
      <c r="E22" s="14" t="s">
        <v>16</v>
      </c>
      <c r="F22" s="14" t="s">
        <v>949</v>
      </c>
      <c r="G22" s="21" t="s">
        <v>10</v>
      </c>
      <c r="H22" s="15">
        <v>0.3</v>
      </c>
      <c r="I22" s="14" t="s">
        <v>372</v>
      </c>
      <c r="J22" s="14" t="s">
        <v>955</v>
      </c>
      <c r="K22" s="14" t="s">
        <v>956</v>
      </c>
      <c r="L22" s="14" t="s">
        <v>957</v>
      </c>
      <c r="M22" s="14" t="s">
        <v>91</v>
      </c>
      <c r="N22" s="14" t="s">
        <v>377</v>
      </c>
      <c r="O22" s="14" t="s">
        <v>958</v>
      </c>
    </row>
    <row r="23" spans="1:15" ht="75" customHeight="1" x14ac:dyDescent="0.25">
      <c r="A23" s="20">
        <v>19</v>
      </c>
      <c r="B23" s="14" t="s">
        <v>1000</v>
      </c>
      <c r="C23" s="14" t="s">
        <v>110</v>
      </c>
      <c r="D23" s="20" t="s">
        <v>98</v>
      </c>
      <c r="E23" s="14" t="s">
        <v>16</v>
      </c>
      <c r="F23" s="14" t="s">
        <v>1001</v>
      </c>
      <c r="G23" s="21" t="s">
        <v>10</v>
      </c>
      <c r="H23" s="15">
        <v>0.25</v>
      </c>
      <c r="I23" s="14" t="s">
        <v>372</v>
      </c>
      <c r="J23" s="14" t="s">
        <v>1002</v>
      </c>
      <c r="K23" s="14" t="s">
        <v>1003</v>
      </c>
      <c r="L23" s="14" t="s">
        <v>1004</v>
      </c>
      <c r="M23" s="14" t="s">
        <v>1005</v>
      </c>
      <c r="N23" s="14" t="s">
        <v>377</v>
      </c>
      <c r="O23" s="14" t="s">
        <v>1006</v>
      </c>
    </row>
    <row r="24" spans="1:15" ht="75" customHeight="1" x14ac:dyDescent="0.25">
      <c r="A24" s="20">
        <v>20</v>
      </c>
      <c r="B24" s="14" t="s">
        <v>1007</v>
      </c>
      <c r="C24" s="14" t="s">
        <v>110</v>
      </c>
      <c r="D24" s="20" t="s">
        <v>98</v>
      </c>
      <c r="E24" s="14" t="s">
        <v>16</v>
      </c>
      <c r="F24" s="14" t="s">
        <v>949</v>
      </c>
      <c r="G24" s="21" t="s">
        <v>10</v>
      </c>
      <c r="H24" s="15">
        <v>0.25</v>
      </c>
      <c r="I24" s="14" t="s">
        <v>372</v>
      </c>
      <c r="J24" s="14" t="s">
        <v>1008</v>
      </c>
      <c r="K24" s="14" t="s">
        <v>1009</v>
      </c>
      <c r="L24" s="14" t="s">
        <v>1010</v>
      </c>
      <c r="M24" s="14" t="s">
        <v>91</v>
      </c>
      <c r="N24" s="14" t="s">
        <v>377</v>
      </c>
      <c r="O24" s="14" t="s">
        <v>1011</v>
      </c>
    </row>
    <row r="25" spans="1:15" ht="75" customHeight="1" x14ac:dyDescent="0.25">
      <c r="A25" s="20">
        <v>21</v>
      </c>
      <c r="B25" s="14" t="s">
        <v>1023</v>
      </c>
      <c r="C25" s="14" t="s">
        <v>110</v>
      </c>
      <c r="D25" s="20" t="s">
        <v>98</v>
      </c>
      <c r="E25" s="14" t="s">
        <v>16</v>
      </c>
      <c r="F25" s="14" t="s">
        <v>1024</v>
      </c>
      <c r="G25" s="21" t="s">
        <v>10</v>
      </c>
      <c r="H25" s="15">
        <v>0.25</v>
      </c>
      <c r="I25" s="14" t="s">
        <v>372</v>
      </c>
      <c r="J25" s="14" t="s">
        <v>1025</v>
      </c>
      <c r="K25" s="14" t="s">
        <v>1026</v>
      </c>
      <c r="L25" s="14" t="s">
        <v>1027</v>
      </c>
      <c r="M25" s="14" t="s">
        <v>91</v>
      </c>
      <c r="N25" s="14" t="s">
        <v>377</v>
      </c>
      <c r="O25" s="14" t="s">
        <v>1028</v>
      </c>
    </row>
    <row r="26" spans="1:15" ht="75" customHeight="1" x14ac:dyDescent="0.25">
      <c r="A26" s="20">
        <v>22</v>
      </c>
      <c r="B26" s="14" t="s">
        <v>1029</v>
      </c>
      <c r="C26" s="14" t="s">
        <v>110</v>
      </c>
      <c r="D26" s="20" t="s">
        <v>98</v>
      </c>
      <c r="E26" s="14" t="s">
        <v>16</v>
      </c>
      <c r="F26" s="14" t="s">
        <v>840</v>
      </c>
      <c r="G26" s="21" t="s">
        <v>10</v>
      </c>
      <c r="H26" s="15">
        <v>0.25</v>
      </c>
      <c r="I26" s="14" t="s">
        <v>372</v>
      </c>
      <c r="J26" s="14" t="s">
        <v>1030</v>
      </c>
      <c r="K26" s="14" t="s">
        <v>1031</v>
      </c>
      <c r="L26" s="14" t="s">
        <v>1032</v>
      </c>
      <c r="M26" s="14" t="s">
        <v>91</v>
      </c>
      <c r="N26" s="14" t="s">
        <v>377</v>
      </c>
      <c r="O26" s="14" t="s">
        <v>1033</v>
      </c>
    </row>
    <row r="27" spans="1:15" ht="75" customHeight="1" x14ac:dyDescent="0.25">
      <c r="A27" s="20">
        <v>23</v>
      </c>
      <c r="B27" s="14" t="s">
        <v>1055</v>
      </c>
      <c r="C27" s="14" t="s">
        <v>110</v>
      </c>
      <c r="D27" s="20" t="s">
        <v>98</v>
      </c>
      <c r="E27" s="14" t="s">
        <v>16</v>
      </c>
      <c r="F27" s="14" t="s">
        <v>949</v>
      </c>
      <c r="G27" s="21" t="s">
        <v>10</v>
      </c>
      <c r="H27" s="15">
        <v>0.2</v>
      </c>
      <c r="I27" s="14" t="s">
        <v>372</v>
      </c>
      <c r="J27" s="14" t="s">
        <v>1056</v>
      </c>
      <c r="K27" s="14" t="s">
        <v>1057</v>
      </c>
      <c r="L27" s="14" t="s">
        <v>1058</v>
      </c>
      <c r="M27" s="14" t="s">
        <v>91</v>
      </c>
      <c r="N27" s="14" t="s">
        <v>377</v>
      </c>
      <c r="O27" s="14" t="s">
        <v>1059</v>
      </c>
    </row>
    <row r="28" spans="1:15" ht="75" customHeight="1" x14ac:dyDescent="0.25">
      <c r="A28" s="20">
        <v>24</v>
      </c>
      <c r="B28" s="14" t="s">
        <v>1074</v>
      </c>
      <c r="C28" s="14" t="s">
        <v>84</v>
      </c>
      <c r="D28" s="20" t="s">
        <v>98</v>
      </c>
      <c r="E28" s="14" t="s">
        <v>16</v>
      </c>
      <c r="F28" s="14" t="s">
        <v>949</v>
      </c>
      <c r="G28" s="21" t="s">
        <v>10</v>
      </c>
      <c r="H28" s="15">
        <v>0.2</v>
      </c>
      <c r="I28" s="14" t="s">
        <v>372</v>
      </c>
      <c r="J28" s="14" t="s">
        <v>1075</v>
      </c>
      <c r="K28" s="14" t="s">
        <v>1076</v>
      </c>
      <c r="L28" s="14" t="s">
        <v>1077</v>
      </c>
      <c r="M28" s="14" t="s">
        <v>91</v>
      </c>
      <c r="N28" s="14" t="s">
        <v>377</v>
      </c>
      <c r="O28" s="14" t="s">
        <v>1078</v>
      </c>
    </row>
    <row r="29" spans="1:15" ht="75" customHeight="1" x14ac:dyDescent="0.25">
      <c r="A29" s="20">
        <v>25</v>
      </c>
      <c r="B29" s="14" t="s">
        <v>1079</v>
      </c>
      <c r="C29" s="14" t="s">
        <v>110</v>
      </c>
      <c r="D29" s="20" t="s">
        <v>98</v>
      </c>
      <c r="E29" s="14" t="s">
        <v>16</v>
      </c>
      <c r="F29" s="14" t="s">
        <v>949</v>
      </c>
      <c r="G29" s="21" t="s">
        <v>10</v>
      </c>
      <c r="H29" s="15">
        <v>0.2</v>
      </c>
      <c r="I29" s="14" t="s">
        <v>372</v>
      </c>
      <c r="J29" s="14" t="s">
        <v>1080</v>
      </c>
      <c r="K29" s="14" t="s">
        <v>1081</v>
      </c>
      <c r="L29" s="14" t="s">
        <v>1082</v>
      </c>
      <c r="M29" s="14" t="s">
        <v>91</v>
      </c>
      <c r="N29" s="14" t="s">
        <v>377</v>
      </c>
      <c r="O29" s="14" t="s">
        <v>1083</v>
      </c>
    </row>
    <row r="30" spans="1:15" ht="75" customHeight="1" x14ac:dyDescent="0.25">
      <c r="A30" s="20">
        <v>26</v>
      </c>
      <c r="B30" s="14" t="s">
        <v>1084</v>
      </c>
      <c r="C30" s="14" t="s">
        <v>110</v>
      </c>
      <c r="D30" s="20" t="s">
        <v>98</v>
      </c>
      <c r="E30" s="14" t="s">
        <v>16</v>
      </c>
      <c r="F30" s="14" t="s">
        <v>1085</v>
      </c>
      <c r="G30" s="21" t="s">
        <v>10</v>
      </c>
      <c r="H30" s="15">
        <v>0.15</v>
      </c>
      <c r="I30" s="14" t="s">
        <v>372</v>
      </c>
      <c r="J30" s="14" t="s">
        <v>1086</v>
      </c>
      <c r="K30" s="14" t="s">
        <v>1087</v>
      </c>
      <c r="L30" s="14" t="s">
        <v>1088</v>
      </c>
      <c r="M30" s="14" t="s">
        <v>91</v>
      </c>
      <c r="N30" s="14" t="s">
        <v>377</v>
      </c>
      <c r="O30" s="14" t="s">
        <v>1089</v>
      </c>
    </row>
    <row r="31" spans="1:15" ht="75" customHeight="1" x14ac:dyDescent="0.25">
      <c r="A31" s="20">
        <v>27</v>
      </c>
      <c r="B31" s="14" t="s">
        <v>1090</v>
      </c>
      <c r="C31" s="14" t="s">
        <v>110</v>
      </c>
      <c r="D31" s="20" t="s">
        <v>98</v>
      </c>
      <c r="E31" s="14" t="s">
        <v>16</v>
      </c>
      <c r="F31" s="14" t="s">
        <v>1091</v>
      </c>
      <c r="G31" s="21" t="s">
        <v>10</v>
      </c>
      <c r="H31" s="15">
        <v>0.15</v>
      </c>
      <c r="I31" s="14" t="s">
        <v>372</v>
      </c>
      <c r="J31" s="14" t="s">
        <v>1092</v>
      </c>
      <c r="K31" s="14" t="s">
        <v>1093</v>
      </c>
      <c r="L31" s="14" t="s">
        <v>1094</v>
      </c>
      <c r="M31" s="14" t="s">
        <v>91</v>
      </c>
      <c r="N31" s="14" t="s">
        <v>377</v>
      </c>
      <c r="O31" s="14" t="s">
        <v>1095</v>
      </c>
    </row>
    <row r="32" spans="1:15" ht="75" customHeight="1" x14ac:dyDescent="0.25">
      <c r="A32" s="20">
        <v>28</v>
      </c>
      <c r="B32" s="14" t="s">
        <v>1096</v>
      </c>
      <c r="C32" s="14" t="s">
        <v>110</v>
      </c>
      <c r="D32" s="20" t="s">
        <v>98</v>
      </c>
      <c r="E32" s="14" t="s">
        <v>16</v>
      </c>
      <c r="F32" s="14" t="s">
        <v>879</v>
      </c>
      <c r="G32" s="21" t="s">
        <v>10</v>
      </c>
      <c r="H32" s="15">
        <v>0.15</v>
      </c>
      <c r="I32" s="14" t="s">
        <v>372</v>
      </c>
      <c r="J32" s="14" t="s">
        <v>1097</v>
      </c>
      <c r="K32" s="14" t="s">
        <v>1098</v>
      </c>
      <c r="L32" s="14" t="s">
        <v>1099</v>
      </c>
      <c r="M32" s="14" t="s">
        <v>91</v>
      </c>
      <c r="N32" s="14" t="s">
        <v>377</v>
      </c>
      <c r="O32" s="14" t="s">
        <v>1100</v>
      </c>
    </row>
    <row r="33" spans="1:15" ht="75" customHeight="1" x14ac:dyDescent="0.25">
      <c r="A33" s="20">
        <v>29</v>
      </c>
      <c r="B33" s="14" t="s">
        <v>1101</v>
      </c>
      <c r="C33" s="14" t="s">
        <v>110</v>
      </c>
      <c r="D33" s="20" t="s">
        <v>98</v>
      </c>
      <c r="E33" s="14" t="s">
        <v>16</v>
      </c>
      <c r="F33" s="14" t="s">
        <v>1102</v>
      </c>
      <c r="G33" s="21" t="s">
        <v>10</v>
      </c>
      <c r="H33" s="15">
        <v>0.15</v>
      </c>
      <c r="I33" s="14" t="s">
        <v>372</v>
      </c>
      <c r="J33" s="14" t="s">
        <v>1103</v>
      </c>
      <c r="K33" s="14" t="s">
        <v>1104</v>
      </c>
      <c r="L33" s="14" t="s">
        <v>1105</v>
      </c>
      <c r="M33" s="14" t="s">
        <v>91</v>
      </c>
      <c r="N33" s="14" t="s">
        <v>377</v>
      </c>
      <c r="O33" s="14" t="s">
        <v>1106</v>
      </c>
    </row>
    <row r="34" spans="1:15" ht="75" customHeight="1" x14ac:dyDescent="0.25">
      <c r="A34" s="20">
        <v>30</v>
      </c>
      <c r="B34" s="14" t="s">
        <v>1125</v>
      </c>
      <c r="C34" s="14" t="s">
        <v>110</v>
      </c>
      <c r="D34" s="20" t="s">
        <v>98</v>
      </c>
      <c r="E34" s="14" t="s">
        <v>16</v>
      </c>
      <c r="F34" s="14" t="s">
        <v>1126</v>
      </c>
      <c r="G34" s="21" t="s">
        <v>10</v>
      </c>
      <c r="H34" s="15">
        <v>0.15</v>
      </c>
      <c r="I34" s="14" t="s">
        <v>372</v>
      </c>
      <c r="J34" s="14" t="s">
        <v>1127</v>
      </c>
      <c r="K34" s="14" t="s">
        <v>1128</v>
      </c>
      <c r="L34" s="14" t="s">
        <v>1129</v>
      </c>
      <c r="M34" s="14" t="s">
        <v>91</v>
      </c>
      <c r="N34" s="14" t="s">
        <v>377</v>
      </c>
      <c r="O34" s="14" t="s">
        <v>1130</v>
      </c>
    </row>
    <row r="35" spans="1:15" ht="75" customHeight="1" x14ac:dyDescent="0.25">
      <c r="A35" s="20">
        <v>31</v>
      </c>
      <c r="B35" s="14" t="s">
        <v>1137</v>
      </c>
      <c r="C35" s="14" t="s">
        <v>110</v>
      </c>
      <c r="D35" s="20" t="s">
        <v>98</v>
      </c>
      <c r="E35" s="14" t="s">
        <v>16</v>
      </c>
      <c r="F35" s="14" t="s">
        <v>1138</v>
      </c>
      <c r="G35" s="21" t="s">
        <v>10</v>
      </c>
      <c r="H35" s="15">
        <v>0.15</v>
      </c>
      <c r="I35" s="14" t="s">
        <v>425</v>
      </c>
      <c r="J35" s="14" t="s">
        <v>1139</v>
      </c>
      <c r="K35" s="14" t="s">
        <v>1140</v>
      </c>
      <c r="L35" s="14" t="s">
        <v>1141</v>
      </c>
      <c r="M35" s="14" t="s">
        <v>91</v>
      </c>
      <c r="N35" s="14" t="s">
        <v>377</v>
      </c>
      <c r="O35" s="14" t="s">
        <v>1142</v>
      </c>
    </row>
    <row r="36" spans="1:15" ht="75" customHeight="1" x14ac:dyDescent="0.25">
      <c r="A36" s="20">
        <v>32</v>
      </c>
      <c r="B36" s="14" t="s">
        <v>1143</v>
      </c>
      <c r="C36" s="14" t="s">
        <v>110</v>
      </c>
      <c r="D36" s="20" t="s">
        <v>98</v>
      </c>
      <c r="E36" s="14" t="s">
        <v>16</v>
      </c>
      <c r="F36" s="14" t="s">
        <v>1144</v>
      </c>
      <c r="G36" s="21" t="s">
        <v>10</v>
      </c>
      <c r="H36" s="15">
        <v>0.15</v>
      </c>
      <c r="I36" s="14" t="s">
        <v>372</v>
      </c>
      <c r="J36" s="14" t="s">
        <v>1145</v>
      </c>
      <c r="K36" s="14" t="s">
        <v>1146</v>
      </c>
      <c r="L36" s="14" t="s">
        <v>1147</v>
      </c>
      <c r="M36" s="14" t="s">
        <v>1148</v>
      </c>
      <c r="N36" s="14" t="s">
        <v>377</v>
      </c>
      <c r="O36" s="14" t="s">
        <v>1149</v>
      </c>
    </row>
    <row r="37" spans="1:15" ht="75" customHeight="1" x14ac:dyDescent="0.25">
      <c r="A37" s="20">
        <v>33</v>
      </c>
      <c r="B37" s="14" t="s">
        <v>1159</v>
      </c>
      <c r="C37" s="14" t="s">
        <v>110</v>
      </c>
      <c r="D37" s="20" t="s">
        <v>98</v>
      </c>
      <c r="E37" s="14" t="s">
        <v>16</v>
      </c>
      <c r="F37" s="14" t="s">
        <v>1160</v>
      </c>
      <c r="G37" s="21" t="s">
        <v>10</v>
      </c>
      <c r="H37" s="15">
        <v>0.1</v>
      </c>
      <c r="I37" s="14" t="s">
        <v>372</v>
      </c>
      <c r="J37" s="14" t="s">
        <v>1161</v>
      </c>
      <c r="K37" s="14" t="s">
        <v>1162</v>
      </c>
      <c r="L37" s="14" t="s">
        <v>1163</v>
      </c>
      <c r="M37" s="14" t="s">
        <v>91</v>
      </c>
      <c r="N37" s="14" t="s">
        <v>377</v>
      </c>
      <c r="O37" s="14" t="s">
        <v>1164</v>
      </c>
    </row>
    <row r="38" spans="1:15" ht="75" customHeight="1" x14ac:dyDescent="0.25">
      <c r="A38" s="20">
        <v>34</v>
      </c>
      <c r="B38" s="14" t="s">
        <v>1205</v>
      </c>
      <c r="C38" s="14" t="s">
        <v>110</v>
      </c>
      <c r="D38" s="20" t="s">
        <v>98</v>
      </c>
      <c r="E38" s="14" t="s">
        <v>16</v>
      </c>
      <c r="F38" s="14" t="s">
        <v>949</v>
      </c>
      <c r="G38" s="21" t="s">
        <v>10</v>
      </c>
      <c r="H38" s="15">
        <v>0.1</v>
      </c>
      <c r="I38" s="14" t="s">
        <v>372</v>
      </c>
      <c r="J38" s="14" t="s">
        <v>1206</v>
      </c>
      <c r="K38" s="14" t="s">
        <v>1207</v>
      </c>
      <c r="L38" s="14" t="s">
        <v>1208</v>
      </c>
      <c r="M38" s="14" t="s">
        <v>91</v>
      </c>
      <c r="N38" s="14" t="s">
        <v>377</v>
      </c>
      <c r="O38" s="14" t="s">
        <v>1209</v>
      </c>
    </row>
  </sheetData>
  <autoFilter ref="A4:O38" xr:uid="{00000000-0009-0000-0000-000004000000}"/>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85"/>
  <sheetViews>
    <sheetView tabSelected="1" zoomScale="90" workbookViewId="0">
      <pane xSplit="2" ySplit="4" topLeftCell="H23" activePane="bottomRight" state="frozen"/>
      <selection pane="topRight"/>
      <selection pane="bottomLeft"/>
      <selection pane="bottomRight" activeCell="B56" sqref="B56"/>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1251</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90" customHeight="1" x14ac:dyDescent="0.25">
      <c r="A5" s="20">
        <v>1</v>
      </c>
      <c r="B5" s="14" t="s">
        <v>26</v>
      </c>
      <c r="C5" s="14" t="s">
        <v>84</v>
      </c>
      <c r="D5" s="20" t="s">
        <v>85</v>
      </c>
      <c r="E5" s="14" t="s">
        <v>27</v>
      </c>
      <c r="F5" s="14" t="s">
        <v>93</v>
      </c>
      <c r="G5" s="16" t="s">
        <v>6</v>
      </c>
      <c r="H5" s="15">
        <v>0.9</v>
      </c>
      <c r="I5" s="14" t="s">
        <v>87</v>
      </c>
      <c r="J5" s="14" t="s">
        <v>94</v>
      </c>
      <c r="K5" s="14" t="s">
        <v>95</v>
      </c>
      <c r="L5" s="14" t="s">
        <v>96</v>
      </c>
      <c r="M5" s="14" t="s">
        <v>91</v>
      </c>
      <c r="N5" s="14" t="s">
        <v>28</v>
      </c>
      <c r="O5" s="14" t="s">
        <v>97</v>
      </c>
    </row>
    <row r="6" spans="1:15" ht="114" customHeight="1" x14ac:dyDescent="0.25">
      <c r="A6" s="20">
        <v>2</v>
      </c>
      <c r="B6" s="14" t="s">
        <v>31</v>
      </c>
      <c r="C6" s="14" t="s">
        <v>84</v>
      </c>
      <c r="D6" s="20" t="s">
        <v>104</v>
      </c>
      <c r="E6" s="14" t="s">
        <v>32</v>
      </c>
      <c r="F6" s="14" t="s">
        <v>105</v>
      </c>
      <c r="G6" s="16" t="s">
        <v>6</v>
      </c>
      <c r="H6" s="15">
        <v>0.8</v>
      </c>
      <c r="I6" s="14" t="s">
        <v>87</v>
      </c>
      <c r="J6" s="14" t="s">
        <v>106</v>
      </c>
      <c r="K6" s="14" t="s">
        <v>107</v>
      </c>
      <c r="L6" s="14" t="s">
        <v>108</v>
      </c>
      <c r="M6" s="14" t="s">
        <v>91</v>
      </c>
      <c r="N6" s="14" t="s">
        <v>33</v>
      </c>
      <c r="O6" s="14" t="s">
        <v>109</v>
      </c>
    </row>
    <row r="7" spans="1:15" ht="90" customHeight="1" x14ac:dyDescent="0.25">
      <c r="A7" s="20">
        <v>3</v>
      </c>
      <c r="B7" s="14" t="s">
        <v>34</v>
      </c>
      <c r="C7" s="14" t="s">
        <v>110</v>
      </c>
      <c r="D7" s="20" t="s">
        <v>104</v>
      </c>
      <c r="E7" s="14" t="s">
        <v>32</v>
      </c>
      <c r="F7" s="14" t="s">
        <v>111</v>
      </c>
      <c r="G7" s="17" t="s">
        <v>8</v>
      </c>
      <c r="H7" s="15">
        <v>0.7</v>
      </c>
      <c r="I7" s="14" t="s">
        <v>87</v>
      </c>
      <c r="J7" s="14" t="s">
        <v>112</v>
      </c>
      <c r="K7" s="14" t="s">
        <v>113</v>
      </c>
      <c r="L7" s="14" t="s">
        <v>114</v>
      </c>
      <c r="M7" s="14" t="s">
        <v>91</v>
      </c>
      <c r="N7" s="14" t="s">
        <v>35</v>
      </c>
      <c r="O7" s="14" t="s">
        <v>115</v>
      </c>
    </row>
    <row r="8" spans="1:15" ht="66" customHeight="1" x14ac:dyDescent="0.25">
      <c r="A8" s="20">
        <v>4</v>
      </c>
      <c r="B8" s="14" t="s">
        <v>38</v>
      </c>
      <c r="C8" s="14" t="s">
        <v>84</v>
      </c>
      <c r="D8" s="20" t="s">
        <v>85</v>
      </c>
      <c r="E8" s="14" t="s">
        <v>39</v>
      </c>
      <c r="F8" s="14" t="s">
        <v>122</v>
      </c>
      <c r="G8" s="17" t="s">
        <v>8</v>
      </c>
      <c r="H8" s="15">
        <v>0.65</v>
      </c>
      <c r="I8" s="14" t="s">
        <v>87</v>
      </c>
      <c r="J8" s="14" t="s">
        <v>123</v>
      </c>
      <c r="K8" s="14" t="s">
        <v>124</v>
      </c>
      <c r="L8" s="14" t="s">
        <v>125</v>
      </c>
      <c r="M8" s="14" t="s">
        <v>91</v>
      </c>
      <c r="N8" s="14" t="s">
        <v>40</v>
      </c>
      <c r="O8" s="14" t="s">
        <v>126</v>
      </c>
    </row>
    <row r="9" spans="1:15" ht="66" customHeight="1" x14ac:dyDescent="0.25">
      <c r="A9" s="20">
        <v>5</v>
      </c>
      <c r="B9" s="14" t="s">
        <v>41</v>
      </c>
      <c r="C9" s="14" t="s">
        <v>127</v>
      </c>
      <c r="D9" s="20" t="s">
        <v>85</v>
      </c>
      <c r="E9" s="14" t="s">
        <v>27</v>
      </c>
      <c r="F9" s="14" t="s">
        <v>128</v>
      </c>
      <c r="G9" s="17" t="s">
        <v>8</v>
      </c>
      <c r="H9" s="15">
        <v>0.65</v>
      </c>
      <c r="I9" s="14" t="s">
        <v>87</v>
      </c>
      <c r="J9" s="14" t="s">
        <v>129</v>
      </c>
      <c r="K9" s="14" t="s">
        <v>130</v>
      </c>
      <c r="L9" s="14" t="s">
        <v>131</v>
      </c>
      <c r="M9" s="14" t="s">
        <v>91</v>
      </c>
      <c r="N9" s="14" t="s">
        <v>42</v>
      </c>
      <c r="O9" s="14" t="s">
        <v>132</v>
      </c>
    </row>
    <row r="10" spans="1:15" ht="66" customHeight="1" x14ac:dyDescent="0.25">
      <c r="A10" s="20">
        <v>6</v>
      </c>
      <c r="B10" s="14" t="s">
        <v>45</v>
      </c>
      <c r="C10" s="14" t="s">
        <v>116</v>
      </c>
      <c r="D10" s="20" t="s">
        <v>85</v>
      </c>
      <c r="E10" s="14" t="s">
        <v>27</v>
      </c>
      <c r="F10" s="14" t="s">
        <v>138</v>
      </c>
      <c r="G10" s="17" t="s">
        <v>8</v>
      </c>
      <c r="H10" s="15">
        <v>0.6</v>
      </c>
      <c r="I10" s="14" t="s">
        <v>87</v>
      </c>
      <c r="J10" s="14" t="s">
        <v>139</v>
      </c>
      <c r="K10" s="14" t="s">
        <v>140</v>
      </c>
      <c r="L10" s="14" t="s">
        <v>141</v>
      </c>
      <c r="M10" s="14" t="s">
        <v>91</v>
      </c>
      <c r="N10" s="14" t="s">
        <v>46</v>
      </c>
      <c r="O10" s="14" t="s">
        <v>142</v>
      </c>
    </row>
    <row r="11" spans="1:15" ht="90" customHeight="1" x14ac:dyDescent="0.25">
      <c r="A11" s="20">
        <v>7</v>
      </c>
      <c r="B11" s="14" t="s">
        <v>47</v>
      </c>
      <c r="C11" s="14" t="s">
        <v>116</v>
      </c>
      <c r="D11" s="20" t="s">
        <v>85</v>
      </c>
      <c r="E11" s="14" t="s">
        <v>27</v>
      </c>
      <c r="F11" s="14" t="s">
        <v>143</v>
      </c>
      <c r="G11" s="17" t="s">
        <v>8</v>
      </c>
      <c r="H11" s="15">
        <v>0.6</v>
      </c>
      <c r="I11" s="14" t="s">
        <v>87</v>
      </c>
      <c r="J11" s="14" t="s">
        <v>144</v>
      </c>
      <c r="K11" s="14" t="s">
        <v>145</v>
      </c>
      <c r="L11" s="14" t="s">
        <v>146</v>
      </c>
      <c r="M11" s="14" t="s">
        <v>91</v>
      </c>
      <c r="N11" s="14" t="s">
        <v>48</v>
      </c>
      <c r="O11" s="14" t="s">
        <v>147</v>
      </c>
    </row>
    <row r="12" spans="1:15" ht="78" customHeight="1" x14ac:dyDescent="0.25">
      <c r="A12" s="20">
        <v>8</v>
      </c>
      <c r="B12" s="14" t="s">
        <v>51</v>
      </c>
      <c r="C12" s="14" t="s">
        <v>116</v>
      </c>
      <c r="D12" s="20" t="s">
        <v>104</v>
      </c>
      <c r="E12" s="14" t="s">
        <v>32</v>
      </c>
      <c r="F12" s="14" t="s">
        <v>153</v>
      </c>
      <c r="G12" s="17" t="s">
        <v>8</v>
      </c>
      <c r="H12" s="15">
        <v>0.6</v>
      </c>
      <c r="I12" s="14" t="s">
        <v>87</v>
      </c>
      <c r="J12" s="14" t="s">
        <v>154</v>
      </c>
      <c r="K12" s="14" t="s">
        <v>155</v>
      </c>
      <c r="L12" s="14" t="s">
        <v>156</v>
      </c>
      <c r="M12" s="14" t="s">
        <v>91</v>
      </c>
      <c r="N12" s="14" t="s">
        <v>52</v>
      </c>
      <c r="O12" s="14" t="s">
        <v>157</v>
      </c>
    </row>
    <row r="13" spans="1:15" ht="66" customHeight="1" x14ac:dyDescent="0.25">
      <c r="A13" s="20">
        <v>9</v>
      </c>
      <c r="B13" s="14" t="s">
        <v>55</v>
      </c>
      <c r="C13" s="14" t="s">
        <v>116</v>
      </c>
      <c r="D13" s="20" t="s">
        <v>104</v>
      </c>
      <c r="E13" s="14" t="s">
        <v>32</v>
      </c>
      <c r="F13" s="14" t="s">
        <v>163</v>
      </c>
      <c r="G13" s="17" t="s">
        <v>8</v>
      </c>
      <c r="H13" s="15">
        <v>0.55000000000000004</v>
      </c>
      <c r="I13" s="14" t="s">
        <v>87</v>
      </c>
      <c r="J13" s="14" t="s">
        <v>164</v>
      </c>
      <c r="K13" s="14" t="s">
        <v>165</v>
      </c>
      <c r="L13" s="14" t="s">
        <v>166</v>
      </c>
      <c r="M13" s="14" t="s">
        <v>91</v>
      </c>
      <c r="N13" s="14" t="s">
        <v>56</v>
      </c>
      <c r="O13" s="14" t="s">
        <v>167</v>
      </c>
    </row>
    <row r="14" spans="1:15" ht="66" customHeight="1" x14ac:dyDescent="0.25">
      <c r="A14" s="20">
        <v>10</v>
      </c>
      <c r="B14" s="14" t="s">
        <v>202</v>
      </c>
      <c r="C14" s="14" t="s">
        <v>116</v>
      </c>
      <c r="D14" s="20" t="s">
        <v>85</v>
      </c>
      <c r="E14" s="14" t="s">
        <v>27</v>
      </c>
      <c r="F14" s="14" t="s">
        <v>203</v>
      </c>
      <c r="G14" s="17" t="s">
        <v>8</v>
      </c>
      <c r="H14" s="15">
        <v>0.5</v>
      </c>
      <c r="I14" s="14" t="s">
        <v>87</v>
      </c>
      <c r="J14" s="14" t="s">
        <v>204</v>
      </c>
      <c r="K14" s="14" t="s">
        <v>205</v>
      </c>
      <c r="L14" s="14" t="s">
        <v>206</v>
      </c>
      <c r="M14" s="14" t="s">
        <v>91</v>
      </c>
      <c r="N14" s="14" t="s">
        <v>207</v>
      </c>
      <c r="O14" s="14" t="s">
        <v>208</v>
      </c>
    </row>
    <row r="15" spans="1:15" ht="90" customHeight="1" x14ac:dyDescent="0.25">
      <c r="A15" s="20">
        <v>11</v>
      </c>
      <c r="B15" s="14" t="s">
        <v>230</v>
      </c>
      <c r="C15" s="14" t="s">
        <v>116</v>
      </c>
      <c r="D15" s="20" t="s">
        <v>85</v>
      </c>
      <c r="E15" s="14" t="s">
        <v>27</v>
      </c>
      <c r="F15" s="14" t="s">
        <v>231</v>
      </c>
      <c r="G15" s="17" t="s">
        <v>8</v>
      </c>
      <c r="H15" s="15">
        <v>0.5</v>
      </c>
      <c r="I15" s="14" t="s">
        <v>87</v>
      </c>
      <c r="J15" s="14" t="s">
        <v>232</v>
      </c>
      <c r="K15" s="14" t="s">
        <v>233</v>
      </c>
      <c r="L15" s="14" t="s">
        <v>234</v>
      </c>
      <c r="M15" s="14" t="s">
        <v>91</v>
      </c>
      <c r="N15" s="14" t="s">
        <v>235</v>
      </c>
      <c r="O15" s="14" t="s">
        <v>236</v>
      </c>
    </row>
    <row r="16" spans="1:15" ht="90" customHeight="1" x14ac:dyDescent="0.25">
      <c r="A16" s="20">
        <v>12</v>
      </c>
      <c r="B16" s="14" t="s">
        <v>244</v>
      </c>
      <c r="C16" s="14" t="s">
        <v>110</v>
      </c>
      <c r="D16" s="20" t="s">
        <v>104</v>
      </c>
      <c r="E16" s="14" t="s">
        <v>32</v>
      </c>
      <c r="F16" s="14" t="s">
        <v>245</v>
      </c>
      <c r="G16" s="17" t="s">
        <v>8</v>
      </c>
      <c r="H16" s="15">
        <v>0.5</v>
      </c>
      <c r="I16" s="14" t="s">
        <v>87</v>
      </c>
      <c r="J16" s="14" t="s">
        <v>246</v>
      </c>
      <c r="K16" s="14" t="s">
        <v>247</v>
      </c>
      <c r="L16" s="14" t="s">
        <v>248</v>
      </c>
      <c r="M16" s="14" t="s">
        <v>91</v>
      </c>
      <c r="N16" s="14" t="s">
        <v>249</v>
      </c>
      <c r="O16" s="14" t="s">
        <v>250</v>
      </c>
    </row>
    <row r="17" spans="1:15" ht="90" customHeight="1" x14ac:dyDescent="0.25">
      <c r="A17" s="20">
        <v>13</v>
      </c>
      <c r="B17" s="14" t="s">
        <v>251</v>
      </c>
      <c r="C17" s="14" t="s">
        <v>116</v>
      </c>
      <c r="D17" s="20" t="s">
        <v>85</v>
      </c>
      <c r="E17" s="14" t="s">
        <v>27</v>
      </c>
      <c r="F17" s="14" t="s">
        <v>252</v>
      </c>
      <c r="G17" s="17" t="s">
        <v>8</v>
      </c>
      <c r="H17" s="15">
        <v>0.5</v>
      </c>
      <c r="I17" s="14" t="s">
        <v>87</v>
      </c>
      <c r="J17" s="14" t="s">
        <v>253</v>
      </c>
      <c r="K17" s="14" t="s">
        <v>254</v>
      </c>
      <c r="L17" s="14" t="s">
        <v>255</v>
      </c>
      <c r="M17" s="14" t="s">
        <v>91</v>
      </c>
      <c r="N17" s="14" t="s">
        <v>256</v>
      </c>
      <c r="O17" s="14" t="s">
        <v>257</v>
      </c>
    </row>
    <row r="18" spans="1:15" ht="66" customHeight="1" x14ac:dyDescent="0.25">
      <c r="A18" s="20">
        <v>14</v>
      </c>
      <c r="B18" s="14" t="s">
        <v>272</v>
      </c>
      <c r="C18" s="14" t="s">
        <v>116</v>
      </c>
      <c r="D18" s="20" t="s">
        <v>104</v>
      </c>
      <c r="E18" s="14" t="s">
        <v>32</v>
      </c>
      <c r="F18" s="14" t="s">
        <v>273</v>
      </c>
      <c r="G18" s="17" t="s">
        <v>8</v>
      </c>
      <c r="H18" s="15">
        <v>0.45</v>
      </c>
      <c r="I18" s="14" t="s">
        <v>87</v>
      </c>
      <c r="J18" s="14" t="s">
        <v>274</v>
      </c>
      <c r="K18" s="14" t="s">
        <v>275</v>
      </c>
      <c r="L18" s="14" t="s">
        <v>276</v>
      </c>
      <c r="M18" s="14" t="s">
        <v>91</v>
      </c>
      <c r="N18" s="14" t="s">
        <v>277</v>
      </c>
      <c r="O18" s="14" t="s">
        <v>278</v>
      </c>
    </row>
    <row r="19" spans="1:15" ht="54" customHeight="1" x14ac:dyDescent="0.25">
      <c r="A19" s="20">
        <v>15</v>
      </c>
      <c r="B19" s="14" t="s">
        <v>279</v>
      </c>
      <c r="C19" s="14" t="s">
        <v>116</v>
      </c>
      <c r="D19" s="20" t="s">
        <v>85</v>
      </c>
      <c r="E19" s="14" t="s">
        <v>27</v>
      </c>
      <c r="F19" s="14" t="s">
        <v>280</v>
      </c>
      <c r="G19" s="17" t="s">
        <v>8</v>
      </c>
      <c r="H19" s="15">
        <v>0.45</v>
      </c>
      <c r="I19" s="14" t="s">
        <v>87</v>
      </c>
      <c r="J19" s="14" t="s">
        <v>281</v>
      </c>
      <c r="K19" s="14" t="s">
        <v>282</v>
      </c>
      <c r="L19" s="14" t="s">
        <v>283</v>
      </c>
      <c r="M19" s="14" t="s">
        <v>91</v>
      </c>
      <c r="N19" s="14" t="s">
        <v>284</v>
      </c>
      <c r="O19" s="14" t="s">
        <v>285</v>
      </c>
    </row>
    <row r="20" spans="1:15" ht="66" customHeight="1" x14ac:dyDescent="0.25">
      <c r="A20" s="20">
        <v>16</v>
      </c>
      <c r="B20" s="14" t="s">
        <v>293</v>
      </c>
      <c r="C20" s="14" t="s">
        <v>116</v>
      </c>
      <c r="D20" s="20" t="s">
        <v>104</v>
      </c>
      <c r="E20" s="14" t="s">
        <v>32</v>
      </c>
      <c r="F20" s="14" t="s">
        <v>294</v>
      </c>
      <c r="G20" s="17" t="s">
        <v>8</v>
      </c>
      <c r="H20" s="15">
        <v>0.4</v>
      </c>
      <c r="I20" s="14" t="s">
        <v>87</v>
      </c>
      <c r="J20" s="14" t="s">
        <v>295</v>
      </c>
      <c r="K20" s="14" t="s">
        <v>296</v>
      </c>
      <c r="L20" s="14" t="s">
        <v>297</v>
      </c>
      <c r="M20" s="14" t="s">
        <v>91</v>
      </c>
      <c r="N20" s="14" t="s">
        <v>298</v>
      </c>
      <c r="O20" s="14" t="s">
        <v>299</v>
      </c>
    </row>
    <row r="21" spans="1:15" ht="66" customHeight="1" x14ac:dyDescent="0.25">
      <c r="A21" s="20">
        <v>17</v>
      </c>
      <c r="B21" s="14" t="s">
        <v>307</v>
      </c>
      <c r="C21" s="14" t="s">
        <v>110</v>
      </c>
      <c r="D21" s="20" t="s">
        <v>104</v>
      </c>
      <c r="E21" s="14" t="s">
        <v>32</v>
      </c>
      <c r="F21" s="14" t="s">
        <v>308</v>
      </c>
      <c r="G21" s="17" t="s">
        <v>8</v>
      </c>
      <c r="H21" s="15">
        <v>0.4</v>
      </c>
      <c r="I21" s="14" t="s">
        <v>87</v>
      </c>
      <c r="J21" s="14" t="s">
        <v>309</v>
      </c>
      <c r="K21" s="14" t="s">
        <v>310</v>
      </c>
      <c r="L21" s="14" t="s">
        <v>311</v>
      </c>
      <c r="M21" s="14" t="s">
        <v>91</v>
      </c>
      <c r="N21" s="14" t="s">
        <v>312</v>
      </c>
      <c r="O21" s="14" t="s">
        <v>313</v>
      </c>
    </row>
    <row r="22" spans="1:15" ht="78" customHeight="1" x14ac:dyDescent="0.25">
      <c r="A22" s="20">
        <v>18</v>
      </c>
      <c r="B22" s="14" t="s">
        <v>321</v>
      </c>
      <c r="C22" s="14" t="s">
        <v>116</v>
      </c>
      <c r="D22" s="20" t="s">
        <v>85</v>
      </c>
      <c r="E22" s="14" t="s">
        <v>27</v>
      </c>
      <c r="F22" s="14" t="s">
        <v>322</v>
      </c>
      <c r="G22" s="17" t="s">
        <v>8</v>
      </c>
      <c r="H22" s="15">
        <v>0.4</v>
      </c>
      <c r="I22" s="14" t="s">
        <v>87</v>
      </c>
      <c r="J22" s="14" t="s">
        <v>323</v>
      </c>
      <c r="K22" s="14" t="s">
        <v>324</v>
      </c>
      <c r="L22" s="14" t="s">
        <v>325</v>
      </c>
      <c r="M22" s="14" t="s">
        <v>91</v>
      </c>
      <c r="N22" s="14" t="s">
        <v>326</v>
      </c>
      <c r="O22" s="14" t="s">
        <v>327</v>
      </c>
    </row>
    <row r="23" spans="1:15" ht="78" customHeight="1" x14ac:dyDescent="0.25">
      <c r="A23" s="20">
        <v>19</v>
      </c>
      <c r="B23" s="14" t="s">
        <v>328</v>
      </c>
      <c r="C23" s="14" t="s">
        <v>116</v>
      </c>
      <c r="D23" s="20" t="s">
        <v>85</v>
      </c>
      <c r="E23" s="14" t="s">
        <v>27</v>
      </c>
      <c r="F23" s="14" t="s">
        <v>329</v>
      </c>
      <c r="G23" s="17" t="s">
        <v>8</v>
      </c>
      <c r="H23" s="15">
        <v>0.4</v>
      </c>
      <c r="I23" s="14" t="s">
        <v>87</v>
      </c>
      <c r="J23" s="14" t="s">
        <v>330</v>
      </c>
      <c r="K23" s="14" t="s">
        <v>331</v>
      </c>
      <c r="L23" s="14" t="s">
        <v>332</v>
      </c>
      <c r="M23" s="14" t="s">
        <v>91</v>
      </c>
      <c r="N23" s="14" t="s">
        <v>333</v>
      </c>
      <c r="O23" s="14" t="s">
        <v>334</v>
      </c>
    </row>
    <row r="24" spans="1:15" ht="78" customHeight="1" x14ac:dyDescent="0.25">
      <c r="A24" s="20">
        <v>20</v>
      </c>
      <c r="B24" s="14" t="s">
        <v>335</v>
      </c>
      <c r="C24" s="14" t="s">
        <v>116</v>
      </c>
      <c r="D24" s="20" t="s">
        <v>85</v>
      </c>
      <c r="E24" s="14" t="s">
        <v>27</v>
      </c>
      <c r="F24" s="14" t="s">
        <v>336</v>
      </c>
      <c r="G24" s="17" t="s">
        <v>8</v>
      </c>
      <c r="H24" s="15">
        <v>0.4</v>
      </c>
      <c r="I24" s="14" t="s">
        <v>87</v>
      </c>
      <c r="J24" s="14" t="s">
        <v>337</v>
      </c>
      <c r="K24" s="14" t="s">
        <v>338</v>
      </c>
      <c r="L24" s="14" t="s">
        <v>339</v>
      </c>
      <c r="M24" s="14" t="s">
        <v>91</v>
      </c>
      <c r="N24" s="14" t="s">
        <v>340</v>
      </c>
      <c r="O24" s="14" t="s">
        <v>341</v>
      </c>
    </row>
    <row r="25" spans="1:15" ht="90" customHeight="1" x14ac:dyDescent="0.25">
      <c r="A25" s="20">
        <v>21</v>
      </c>
      <c r="B25" s="14" t="s">
        <v>342</v>
      </c>
      <c r="C25" s="14" t="s">
        <v>116</v>
      </c>
      <c r="D25" s="20" t="s">
        <v>85</v>
      </c>
      <c r="E25" s="14" t="s">
        <v>27</v>
      </c>
      <c r="F25" s="14" t="s">
        <v>343</v>
      </c>
      <c r="G25" s="17" t="s">
        <v>8</v>
      </c>
      <c r="H25" s="15">
        <v>0.4</v>
      </c>
      <c r="I25" s="14" t="s">
        <v>87</v>
      </c>
      <c r="J25" s="14" t="s">
        <v>344</v>
      </c>
      <c r="K25" s="14" t="s">
        <v>345</v>
      </c>
      <c r="L25" s="14" t="s">
        <v>346</v>
      </c>
      <c r="M25" s="14" t="s">
        <v>91</v>
      </c>
      <c r="N25" s="14" t="s">
        <v>347</v>
      </c>
      <c r="O25" s="14" t="s">
        <v>348</v>
      </c>
    </row>
    <row r="26" spans="1:15" ht="102" customHeight="1" x14ac:dyDescent="0.25">
      <c r="A26" s="20">
        <v>22</v>
      </c>
      <c r="B26" s="14" t="s">
        <v>349</v>
      </c>
      <c r="C26" s="14" t="s">
        <v>110</v>
      </c>
      <c r="D26" s="20" t="s">
        <v>104</v>
      </c>
      <c r="E26" s="14" t="s">
        <v>32</v>
      </c>
      <c r="F26" s="14" t="s">
        <v>350</v>
      </c>
      <c r="G26" s="17" t="s">
        <v>8</v>
      </c>
      <c r="H26" s="15">
        <v>0.4</v>
      </c>
      <c r="I26" s="14" t="s">
        <v>87</v>
      </c>
      <c r="J26" s="14" t="s">
        <v>351</v>
      </c>
      <c r="K26" s="14" t="s">
        <v>352</v>
      </c>
      <c r="L26" s="14" t="s">
        <v>353</v>
      </c>
      <c r="M26" s="14" t="s">
        <v>91</v>
      </c>
      <c r="N26" s="14" t="s">
        <v>354</v>
      </c>
      <c r="O26" s="14" t="s">
        <v>355</v>
      </c>
    </row>
    <row r="27" spans="1:15" ht="75" customHeight="1" x14ac:dyDescent="0.25">
      <c r="A27" s="20">
        <v>23</v>
      </c>
      <c r="B27" s="14" t="s">
        <v>370</v>
      </c>
      <c r="C27" s="14" t="s">
        <v>84</v>
      </c>
      <c r="D27" s="20" t="s">
        <v>85</v>
      </c>
      <c r="E27" s="14" t="s">
        <v>39</v>
      </c>
      <c r="F27" s="14" t="s">
        <v>371</v>
      </c>
      <c r="G27" s="21" t="s">
        <v>10</v>
      </c>
      <c r="H27" s="15">
        <v>0.9</v>
      </c>
      <c r="I27" s="14" t="s">
        <v>372</v>
      </c>
      <c r="J27" s="14" t="s">
        <v>373</v>
      </c>
      <c r="K27" s="14" t="s">
        <v>374</v>
      </c>
      <c r="L27" s="14" t="s">
        <v>375</v>
      </c>
      <c r="M27" s="14" t="s">
        <v>376</v>
      </c>
      <c r="N27" s="14" t="s">
        <v>377</v>
      </c>
      <c r="O27" s="14" t="s">
        <v>378</v>
      </c>
    </row>
    <row r="28" spans="1:15" ht="75" customHeight="1" x14ac:dyDescent="0.25">
      <c r="A28" s="20">
        <v>24</v>
      </c>
      <c r="B28" s="14" t="s">
        <v>379</v>
      </c>
      <c r="C28" s="14" t="s">
        <v>84</v>
      </c>
      <c r="D28" s="20" t="s">
        <v>85</v>
      </c>
      <c r="E28" s="14" t="s">
        <v>39</v>
      </c>
      <c r="F28" s="14" t="s">
        <v>371</v>
      </c>
      <c r="G28" s="21" t="s">
        <v>10</v>
      </c>
      <c r="H28" s="15">
        <v>0.9</v>
      </c>
      <c r="I28" s="14" t="s">
        <v>372</v>
      </c>
      <c r="J28" s="14" t="s">
        <v>380</v>
      </c>
      <c r="K28" s="14" t="s">
        <v>381</v>
      </c>
      <c r="L28" s="14" t="s">
        <v>382</v>
      </c>
      <c r="M28" s="14" t="s">
        <v>383</v>
      </c>
      <c r="N28" s="14" t="s">
        <v>377</v>
      </c>
      <c r="O28" s="14" t="s">
        <v>384</v>
      </c>
    </row>
    <row r="29" spans="1:15" ht="75" customHeight="1" x14ac:dyDescent="0.25">
      <c r="A29" s="20">
        <v>25</v>
      </c>
      <c r="B29" s="14" t="s">
        <v>385</v>
      </c>
      <c r="C29" s="14" t="s">
        <v>84</v>
      </c>
      <c r="D29" s="20" t="s">
        <v>85</v>
      </c>
      <c r="E29" s="14" t="s">
        <v>39</v>
      </c>
      <c r="F29" s="14" t="s">
        <v>371</v>
      </c>
      <c r="G29" s="21" t="s">
        <v>10</v>
      </c>
      <c r="H29" s="15">
        <v>0.9</v>
      </c>
      <c r="I29" s="14" t="s">
        <v>372</v>
      </c>
      <c r="J29" s="14" t="s">
        <v>386</v>
      </c>
      <c r="K29" s="14" t="s">
        <v>387</v>
      </c>
      <c r="L29" s="14" t="s">
        <v>375</v>
      </c>
      <c r="M29" s="14" t="s">
        <v>388</v>
      </c>
      <c r="N29" s="14" t="s">
        <v>377</v>
      </c>
      <c r="O29" s="14" t="s">
        <v>389</v>
      </c>
    </row>
    <row r="30" spans="1:15" ht="75" customHeight="1" x14ac:dyDescent="0.25">
      <c r="A30" s="20">
        <v>26</v>
      </c>
      <c r="B30" s="14" t="s">
        <v>397</v>
      </c>
      <c r="C30" s="14" t="s">
        <v>84</v>
      </c>
      <c r="D30" s="20" t="s">
        <v>85</v>
      </c>
      <c r="E30" s="14" t="s">
        <v>39</v>
      </c>
      <c r="F30" s="14" t="s">
        <v>371</v>
      </c>
      <c r="G30" s="21" t="s">
        <v>10</v>
      </c>
      <c r="H30" s="15">
        <v>0.85</v>
      </c>
      <c r="I30" s="14" t="s">
        <v>372</v>
      </c>
      <c r="J30" s="14" t="s">
        <v>398</v>
      </c>
      <c r="K30" s="14" t="s">
        <v>399</v>
      </c>
      <c r="L30" s="14" t="s">
        <v>400</v>
      </c>
      <c r="M30" s="14" t="s">
        <v>401</v>
      </c>
      <c r="N30" s="14" t="s">
        <v>377</v>
      </c>
      <c r="O30" s="14" t="s">
        <v>402</v>
      </c>
    </row>
    <row r="31" spans="1:15" ht="75" customHeight="1" x14ac:dyDescent="0.25">
      <c r="A31" s="20">
        <v>27</v>
      </c>
      <c r="B31" s="14" t="s">
        <v>403</v>
      </c>
      <c r="C31" s="14" t="s">
        <v>116</v>
      </c>
      <c r="D31" s="20" t="s">
        <v>85</v>
      </c>
      <c r="E31" s="14" t="s">
        <v>27</v>
      </c>
      <c r="F31" s="14" t="s">
        <v>404</v>
      </c>
      <c r="G31" s="21" t="s">
        <v>10</v>
      </c>
      <c r="H31" s="15">
        <v>0.85</v>
      </c>
      <c r="I31" s="14" t="s">
        <v>372</v>
      </c>
      <c r="J31" s="14" t="s">
        <v>405</v>
      </c>
      <c r="K31" s="14" t="s">
        <v>406</v>
      </c>
      <c r="L31" s="14" t="s">
        <v>407</v>
      </c>
      <c r="M31" s="14" t="s">
        <v>408</v>
      </c>
      <c r="N31" s="14" t="s">
        <v>377</v>
      </c>
      <c r="O31" s="14" t="s">
        <v>409</v>
      </c>
    </row>
    <row r="32" spans="1:15" ht="75" customHeight="1" x14ac:dyDescent="0.25">
      <c r="A32" s="20">
        <v>28</v>
      </c>
      <c r="B32" s="14" t="s">
        <v>468</v>
      </c>
      <c r="C32" s="14" t="s">
        <v>110</v>
      </c>
      <c r="D32" s="20" t="s">
        <v>104</v>
      </c>
      <c r="E32" s="14" t="s">
        <v>32</v>
      </c>
      <c r="F32" s="14" t="s">
        <v>469</v>
      </c>
      <c r="G32" s="21" t="s">
        <v>10</v>
      </c>
      <c r="H32" s="15">
        <v>0.7</v>
      </c>
      <c r="I32" s="14" t="s">
        <v>372</v>
      </c>
      <c r="J32" s="14" t="s">
        <v>470</v>
      </c>
      <c r="K32" s="14" t="s">
        <v>471</v>
      </c>
      <c r="L32" s="14" t="s">
        <v>472</v>
      </c>
      <c r="M32" s="14" t="s">
        <v>473</v>
      </c>
      <c r="N32" s="14" t="s">
        <v>377</v>
      </c>
      <c r="O32" s="14" t="s">
        <v>474</v>
      </c>
    </row>
    <row r="33" spans="1:15" ht="75" customHeight="1" x14ac:dyDescent="0.25">
      <c r="A33" s="20">
        <v>29</v>
      </c>
      <c r="B33" s="14" t="s">
        <v>475</v>
      </c>
      <c r="C33" s="14" t="s">
        <v>116</v>
      </c>
      <c r="D33" s="20" t="s">
        <v>85</v>
      </c>
      <c r="E33" s="14" t="s">
        <v>27</v>
      </c>
      <c r="F33" s="14" t="s">
        <v>476</v>
      </c>
      <c r="G33" s="21" t="s">
        <v>10</v>
      </c>
      <c r="H33" s="15">
        <v>0.65</v>
      </c>
      <c r="I33" s="14" t="s">
        <v>372</v>
      </c>
      <c r="J33" s="14" t="s">
        <v>477</v>
      </c>
      <c r="K33" s="14" t="s">
        <v>478</v>
      </c>
      <c r="L33" s="14" t="s">
        <v>479</v>
      </c>
      <c r="M33" s="14" t="s">
        <v>480</v>
      </c>
      <c r="N33" s="14" t="s">
        <v>377</v>
      </c>
      <c r="O33" s="14" t="s">
        <v>481</v>
      </c>
    </row>
    <row r="34" spans="1:15" ht="75" customHeight="1" x14ac:dyDescent="0.25">
      <c r="A34" s="20">
        <v>30</v>
      </c>
      <c r="B34" s="14" t="s">
        <v>489</v>
      </c>
      <c r="C34" s="14" t="s">
        <v>127</v>
      </c>
      <c r="D34" s="20" t="s">
        <v>85</v>
      </c>
      <c r="E34" s="14" t="s">
        <v>27</v>
      </c>
      <c r="F34" s="14" t="s">
        <v>490</v>
      </c>
      <c r="G34" s="21" t="s">
        <v>10</v>
      </c>
      <c r="H34" s="15">
        <v>0.65</v>
      </c>
      <c r="I34" s="14" t="s">
        <v>372</v>
      </c>
      <c r="J34" s="14" t="s">
        <v>491</v>
      </c>
      <c r="K34" s="14" t="s">
        <v>485</v>
      </c>
      <c r="L34" s="14" t="s">
        <v>492</v>
      </c>
      <c r="M34" s="14" t="s">
        <v>493</v>
      </c>
      <c r="N34" s="14" t="s">
        <v>377</v>
      </c>
      <c r="O34" s="14" t="s">
        <v>494</v>
      </c>
    </row>
    <row r="35" spans="1:15" ht="75" customHeight="1" x14ac:dyDescent="0.25">
      <c r="A35" s="20">
        <v>31</v>
      </c>
      <c r="B35" s="14" t="s">
        <v>509</v>
      </c>
      <c r="C35" s="14" t="s">
        <v>110</v>
      </c>
      <c r="D35" s="20" t="s">
        <v>104</v>
      </c>
      <c r="E35" s="14" t="s">
        <v>32</v>
      </c>
      <c r="F35" s="14" t="s">
        <v>510</v>
      </c>
      <c r="G35" s="21" t="s">
        <v>10</v>
      </c>
      <c r="H35" s="15">
        <v>0.65</v>
      </c>
      <c r="I35" s="14" t="s">
        <v>372</v>
      </c>
      <c r="J35" s="14" t="s">
        <v>511</v>
      </c>
      <c r="K35" s="14" t="s">
        <v>512</v>
      </c>
      <c r="L35" s="14" t="s">
        <v>513</v>
      </c>
      <c r="M35" s="14" t="s">
        <v>514</v>
      </c>
      <c r="N35" s="14" t="s">
        <v>377</v>
      </c>
      <c r="O35" s="14" t="s">
        <v>515</v>
      </c>
    </row>
    <row r="36" spans="1:15" ht="75" customHeight="1" x14ac:dyDescent="0.25">
      <c r="A36" s="20">
        <v>32</v>
      </c>
      <c r="B36" s="14" t="s">
        <v>516</v>
      </c>
      <c r="C36" s="14" t="s">
        <v>110</v>
      </c>
      <c r="D36" s="20" t="s">
        <v>85</v>
      </c>
      <c r="E36" s="14" t="s">
        <v>39</v>
      </c>
      <c r="F36" s="14" t="s">
        <v>517</v>
      </c>
      <c r="G36" s="21" t="s">
        <v>10</v>
      </c>
      <c r="H36" s="15">
        <v>0.65</v>
      </c>
      <c r="I36" s="14" t="s">
        <v>372</v>
      </c>
      <c r="J36" s="14" t="s">
        <v>518</v>
      </c>
      <c r="K36" s="14" t="s">
        <v>519</v>
      </c>
      <c r="L36" s="14" t="s">
        <v>520</v>
      </c>
      <c r="M36" s="14" t="s">
        <v>521</v>
      </c>
      <c r="N36" s="14" t="s">
        <v>377</v>
      </c>
      <c r="O36" s="14" t="s">
        <v>522</v>
      </c>
    </row>
    <row r="37" spans="1:15" ht="75" customHeight="1" x14ac:dyDescent="0.25">
      <c r="A37" s="20">
        <v>33</v>
      </c>
      <c r="B37" s="14" t="s">
        <v>573</v>
      </c>
      <c r="C37" s="14" t="s">
        <v>110</v>
      </c>
      <c r="D37" s="20" t="s">
        <v>85</v>
      </c>
      <c r="E37" s="14" t="s">
        <v>27</v>
      </c>
      <c r="F37" s="14" t="s">
        <v>574</v>
      </c>
      <c r="G37" s="21" t="s">
        <v>10</v>
      </c>
      <c r="H37" s="15">
        <v>0.55000000000000004</v>
      </c>
      <c r="I37" s="14" t="s">
        <v>372</v>
      </c>
      <c r="J37" s="14" t="s">
        <v>575</v>
      </c>
      <c r="K37" s="14" t="s">
        <v>371</v>
      </c>
      <c r="L37" s="14" t="s">
        <v>576</v>
      </c>
      <c r="M37" s="14" t="s">
        <v>577</v>
      </c>
      <c r="N37" s="14" t="s">
        <v>377</v>
      </c>
      <c r="O37" s="14" t="s">
        <v>578</v>
      </c>
    </row>
    <row r="38" spans="1:15" ht="75" customHeight="1" x14ac:dyDescent="0.25">
      <c r="A38" s="20">
        <v>34</v>
      </c>
      <c r="B38" s="14" t="s">
        <v>585</v>
      </c>
      <c r="C38" s="14" t="s">
        <v>110</v>
      </c>
      <c r="D38" s="20" t="s">
        <v>85</v>
      </c>
      <c r="E38" s="14" t="s">
        <v>39</v>
      </c>
      <c r="F38" s="14" t="s">
        <v>371</v>
      </c>
      <c r="G38" s="21" t="s">
        <v>10</v>
      </c>
      <c r="H38" s="15">
        <v>0.55000000000000004</v>
      </c>
      <c r="I38" s="14" t="s">
        <v>372</v>
      </c>
      <c r="J38" s="14" t="s">
        <v>586</v>
      </c>
      <c r="K38" s="14" t="s">
        <v>587</v>
      </c>
      <c r="L38" s="14" t="s">
        <v>588</v>
      </c>
      <c r="M38" s="14" t="s">
        <v>589</v>
      </c>
      <c r="N38" s="14" t="s">
        <v>377</v>
      </c>
      <c r="O38" s="14" t="s">
        <v>590</v>
      </c>
    </row>
    <row r="39" spans="1:15" ht="75" customHeight="1" x14ac:dyDescent="0.25">
      <c r="A39" s="20">
        <v>35</v>
      </c>
      <c r="B39" s="14" t="s">
        <v>591</v>
      </c>
      <c r="C39" s="14" t="s">
        <v>110</v>
      </c>
      <c r="D39" s="20" t="s">
        <v>85</v>
      </c>
      <c r="E39" s="14" t="s">
        <v>27</v>
      </c>
      <c r="F39" s="14" t="s">
        <v>592</v>
      </c>
      <c r="G39" s="21" t="s">
        <v>10</v>
      </c>
      <c r="H39" s="15">
        <v>0.55000000000000004</v>
      </c>
      <c r="I39" s="14" t="s">
        <v>372</v>
      </c>
      <c r="J39" s="14" t="s">
        <v>593</v>
      </c>
      <c r="K39" s="14" t="s">
        <v>371</v>
      </c>
      <c r="L39" s="14" t="s">
        <v>465</v>
      </c>
      <c r="M39" s="14" t="s">
        <v>594</v>
      </c>
      <c r="N39" s="14" t="s">
        <v>377</v>
      </c>
      <c r="O39" s="14" t="s">
        <v>467</v>
      </c>
    </row>
    <row r="40" spans="1:15" ht="75" customHeight="1" x14ac:dyDescent="0.25">
      <c r="A40" s="20">
        <v>36</v>
      </c>
      <c r="B40" s="14" t="s">
        <v>595</v>
      </c>
      <c r="C40" s="14" t="s">
        <v>110</v>
      </c>
      <c r="D40" s="20" t="s">
        <v>104</v>
      </c>
      <c r="E40" s="14" t="s">
        <v>32</v>
      </c>
      <c r="F40" s="14" t="s">
        <v>596</v>
      </c>
      <c r="G40" s="21" t="s">
        <v>10</v>
      </c>
      <c r="H40" s="15">
        <v>0.55000000000000004</v>
      </c>
      <c r="I40" s="14" t="s">
        <v>372</v>
      </c>
      <c r="J40" s="14" t="s">
        <v>597</v>
      </c>
      <c r="K40" s="14" t="s">
        <v>598</v>
      </c>
      <c r="L40" s="14" t="s">
        <v>599</v>
      </c>
      <c r="M40" s="14" t="s">
        <v>600</v>
      </c>
      <c r="N40" s="14" t="s">
        <v>377</v>
      </c>
      <c r="O40" s="14" t="s">
        <v>601</v>
      </c>
    </row>
    <row r="41" spans="1:15" ht="75" customHeight="1" x14ac:dyDescent="0.25">
      <c r="A41" s="20">
        <v>37</v>
      </c>
      <c r="B41" s="14" t="s">
        <v>609</v>
      </c>
      <c r="C41" s="14" t="s">
        <v>110</v>
      </c>
      <c r="D41" s="20" t="s">
        <v>104</v>
      </c>
      <c r="E41" s="14" t="s">
        <v>32</v>
      </c>
      <c r="F41" s="14" t="s">
        <v>510</v>
      </c>
      <c r="G41" s="21" t="s">
        <v>10</v>
      </c>
      <c r="H41" s="15">
        <v>0.55000000000000004</v>
      </c>
      <c r="I41" s="14" t="s">
        <v>372</v>
      </c>
      <c r="J41" s="14" t="s">
        <v>610</v>
      </c>
      <c r="K41" s="14" t="s">
        <v>611</v>
      </c>
      <c r="L41" s="14" t="s">
        <v>612</v>
      </c>
      <c r="M41" s="14" t="s">
        <v>613</v>
      </c>
      <c r="N41" s="14" t="s">
        <v>377</v>
      </c>
      <c r="O41" s="14" t="s">
        <v>614</v>
      </c>
    </row>
    <row r="42" spans="1:15" ht="75" customHeight="1" x14ac:dyDescent="0.25">
      <c r="A42" s="20">
        <v>38</v>
      </c>
      <c r="B42" s="14" t="s">
        <v>649</v>
      </c>
      <c r="C42" s="14" t="s">
        <v>127</v>
      </c>
      <c r="D42" s="20" t="s">
        <v>85</v>
      </c>
      <c r="E42" s="14" t="s">
        <v>27</v>
      </c>
      <c r="F42" s="14" t="s">
        <v>650</v>
      </c>
      <c r="G42" s="21" t="s">
        <v>10</v>
      </c>
      <c r="H42" s="15">
        <v>0.5</v>
      </c>
      <c r="I42" s="14" t="s">
        <v>372</v>
      </c>
      <c r="J42" s="14" t="s">
        <v>651</v>
      </c>
      <c r="K42" s="14" t="s">
        <v>485</v>
      </c>
      <c r="L42" s="14" t="s">
        <v>652</v>
      </c>
      <c r="M42" s="14" t="s">
        <v>653</v>
      </c>
      <c r="N42" s="14" t="s">
        <v>377</v>
      </c>
      <c r="O42" s="14" t="s">
        <v>654</v>
      </c>
    </row>
    <row r="43" spans="1:15" ht="75" customHeight="1" x14ac:dyDescent="0.25">
      <c r="A43" s="20">
        <v>39</v>
      </c>
      <c r="B43" s="14" t="s">
        <v>661</v>
      </c>
      <c r="C43" s="14" t="s">
        <v>110</v>
      </c>
      <c r="D43" s="20" t="s">
        <v>85</v>
      </c>
      <c r="E43" s="14" t="s">
        <v>27</v>
      </c>
      <c r="F43" s="14" t="s">
        <v>662</v>
      </c>
      <c r="G43" s="21" t="s">
        <v>10</v>
      </c>
      <c r="H43" s="15">
        <v>0.5</v>
      </c>
      <c r="I43" s="14" t="s">
        <v>372</v>
      </c>
      <c r="J43" s="14" t="s">
        <v>663</v>
      </c>
      <c r="K43" s="14" t="s">
        <v>371</v>
      </c>
      <c r="L43" s="14" t="s">
        <v>465</v>
      </c>
      <c r="M43" s="14" t="s">
        <v>664</v>
      </c>
      <c r="N43" s="14" t="s">
        <v>377</v>
      </c>
      <c r="O43" s="14" t="s">
        <v>467</v>
      </c>
    </row>
    <row r="44" spans="1:15" ht="75" customHeight="1" x14ac:dyDescent="0.25">
      <c r="A44" s="20">
        <v>40</v>
      </c>
      <c r="B44" s="14" t="s">
        <v>672</v>
      </c>
      <c r="C44" s="14" t="s">
        <v>127</v>
      </c>
      <c r="D44" s="20" t="s">
        <v>85</v>
      </c>
      <c r="E44" s="14" t="s">
        <v>27</v>
      </c>
      <c r="F44" s="14" t="s">
        <v>673</v>
      </c>
      <c r="G44" s="21" t="s">
        <v>10</v>
      </c>
      <c r="H44" s="15">
        <v>0.5</v>
      </c>
      <c r="I44" s="14" t="s">
        <v>372</v>
      </c>
      <c r="J44" s="14" t="s">
        <v>674</v>
      </c>
      <c r="K44" s="14" t="s">
        <v>675</v>
      </c>
      <c r="L44" s="14" t="s">
        <v>676</v>
      </c>
      <c r="M44" s="14" t="s">
        <v>677</v>
      </c>
      <c r="N44" s="14" t="s">
        <v>377</v>
      </c>
      <c r="O44" s="14" t="s">
        <v>678</v>
      </c>
    </row>
    <row r="45" spans="1:15" ht="75" customHeight="1" x14ac:dyDescent="0.25">
      <c r="A45" s="20">
        <v>41</v>
      </c>
      <c r="B45" s="14" t="s">
        <v>679</v>
      </c>
      <c r="C45" s="14" t="s">
        <v>116</v>
      </c>
      <c r="D45" s="20" t="s">
        <v>85</v>
      </c>
      <c r="E45" s="14" t="s">
        <v>27</v>
      </c>
      <c r="F45" s="14" t="s">
        <v>680</v>
      </c>
      <c r="G45" s="21" t="s">
        <v>10</v>
      </c>
      <c r="H45" s="15">
        <v>0.5</v>
      </c>
      <c r="I45" s="14" t="s">
        <v>372</v>
      </c>
      <c r="J45" s="14" t="s">
        <v>681</v>
      </c>
      <c r="K45" s="14" t="s">
        <v>682</v>
      </c>
      <c r="L45" s="14" t="s">
        <v>683</v>
      </c>
      <c r="M45" s="14" t="s">
        <v>684</v>
      </c>
      <c r="N45" s="14" t="s">
        <v>377</v>
      </c>
      <c r="O45" s="14" t="s">
        <v>685</v>
      </c>
    </row>
    <row r="46" spans="1:15" ht="75" customHeight="1" x14ac:dyDescent="0.25">
      <c r="A46" s="20">
        <v>42</v>
      </c>
      <c r="B46" s="14" t="s">
        <v>719</v>
      </c>
      <c r="C46" s="14" t="s">
        <v>110</v>
      </c>
      <c r="D46" s="20" t="s">
        <v>85</v>
      </c>
      <c r="E46" s="14" t="s">
        <v>39</v>
      </c>
      <c r="F46" s="14" t="s">
        <v>371</v>
      </c>
      <c r="G46" s="21" t="s">
        <v>10</v>
      </c>
      <c r="H46" s="15">
        <v>0.5</v>
      </c>
      <c r="I46" s="14" t="s">
        <v>372</v>
      </c>
      <c r="J46" s="14" t="s">
        <v>720</v>
      </c>
      <c r="K46" s="14" t="s">
        <v>371</v>
      </c>
      <c r="L46" s="14" t="s">
        <v>721</v>
      </c>
      <c r="M46" s="14" t="s">
        <v>722</v>
      </c>
      <c r="N46" s="14" t="s">
        <v>377</v>
      </c>
      <c r="O46" s="14" t="s">
        <v>578</v>
      </c>
    </row>
    <row r="47" spans="1:15" ht="75" customHeight="1" x14ac:dyDescent="0.25">
      <c r="A47" s="20">
        <v>43</v>
      </c>
      <c r="B47" s="14" t="s">
        <v>729</v>
      </c>
      <c r="C47" s="14" t="s">
        <v>110</v>
      </c>
      <c r="D47" s="20" t="s">
        <v>85</v>
      </c>
      <c r="E47" s="14" t="s">
        <v>39</v>
      </c>
      <c r="F47" s="14" t="s">
        <v>371</v>
      </c>
      <c r="G47" s="21" t="s">
        <v>10</v>
      </c>
      <c r="H47" s="15">
        <v>0.5</v>
      </c>
      <c r="I47" s="14" t="s">
        <v>372</v>
      </c>
      <c r="J47" s="14" t="s">
        <v>730</v>
      </c>
      <c r="K47" s="14" t="s">
        <v>371</v>
      </c>
      <c r="L47" s="14" t="s">
        <v>731</v>
      </c>
      <c r="M47" s="14" t="s">
        <v>732</v>
      </c>
      <c r="N47" s="14" t="s">
        <v>377</v>
      </c>
      <c r="O47" s="14" t="s">
        <v>578</v>
      </c>
    </row>
    <row r="48" spans="1:15" ht="75" customHeight="1" x14ac:dyDescent="0.25">
      <c r="A48" s="20">
        <v>44</v>
      </c>
      <c r="B48" s="14" t="s">
        <v>733</v>
      </c>
      <c r="C48" s="14" t="s">
        <v>116</v>
      </c>
      <c r="D48" s="20" t="s">
        <v>85</v>
      </c>
      <c r="E48" s="14" t="s">
        <v>27</v>
      </c>
      <c r="F48" s="14" t="s">
        <v>734</v>
      </c>
      <c r="G48" s="21" t="s">
        <v>10</v>
      </c>
      <c r="H48" s="15">
        <v>0.45</v>
      </c>
      <c r="I48" s="14" t="s">
        <v>372</v>
      </c>
      <c r="J48" s="14" t="s">
        <v>735</v>
      </c>
      <c r="K48" s="14" t="s">
        <v>736</v>
      </c>
      <c r="L48" s="14" t="s">
        <v>737</v>
      </c>
      <c r="M48" s="14" t="s">
        <v>738</v>
      </c>
      <c r="N48" s="14" t="s">
        <v>377</v>
      </c>
      <c r="O48" s="14" t="s">
        <v>739</v>
      </c>
    </row>
    <row r="49" spans="1:15" ht="75" customHeight="1" x14ac:dyDescent="0.25">
      <c r="A49" s="20">
        <v>45</v>
      </c>
      <c r="B49" s="14" t="s">
        <v>740</v>
      </c>
      <c r="C49" s="14" t="s">
        <v>127</v>
      </c>
      <c r="D49" s="20" t="s">
        <v>85</v>
      </c>
      <c r="E49" s="14" t="s">
        <v>27</v>
      </c>
      <c r="F49" s="14" t="s">
        <v>741</v>
      </c>
      <c r="G49" s="21" t="s">
        <v>10</v>
      </c>
      <c r="H49" s="15">
        <v>0.45</v>
      </c>
      <c r="I49" s="14" t="s">
        <v>372</v>
      </c>
      <c r="J49" s="14" t="s">
        <v>742</v>
      </c>
      <c r="K49" s="14" t="s">
        <v>485</v>
      </c>
      <c r="L49" s="14" t="s">
        <v>550</v>
      </c>
      <c r="M49" s="14" t="s">
        <v>743</v>
      </c>
      <c r="N49" s="14" t="s">
        <v>377</v>
      </c>
      <c r="O49" s="14" t="s">
        <v>744</v>
      </c>
    </row>
    <row r="50" spans="1:15" ht="75" customHeight="1" x14ac:dyDescent="0.25">
      <c r="A50" s="20">
        <v>46</v>
      </c>
      <c r="B50" s="14" t="s">
        <v>753</v>
      </c>
      <c r="C50" s="14" t="s">
        <v>110</v>
      </c>
      <c r="D50" s="20" t="s">
        <v>104</v>
      </c>
      <c r="E50" s="14" t="s">
        <v>32</v>
      </c>
      <c r="F50" s="14" t="s">
        <v>469</v>
      </c>
      <c r="G50" s="21" t="s">
        <v>10</v>
      </c>
      <c r="H50" s="15">
        <v>0.4</v>
      </c>
      <c r="I50" s="14" t="s">
        <v>372</v>
      </c>
      <c r="J50" s="14" t="s">
        <v>754</v>
      </c>
      <c r="K50" s="14" t="s">
        <v>755</v>
      </c>
      <c r="L50" s="14" t="s">
        <v>756</v>
      </c>
      <c r="M50" s="14" t="s">
        <v>757</v>
      </c>
      <c r="N50" s="14" t="s">
        <v>377</v>
      </c>
      <c r="O50" s="14" t="s">
        <v>758</v>
      </c>
    </row>
    <row r="51" spans="1:15" ht="75" customHeight="1" x14ac:dyDescent="0.25">
      <c r="A51" s="20">
        <v>47</v>
      </c>
      <c r="B51" s="14" t="s">
        <v>759</v>
      </c>
      <c r="C51" s="14" t="s">
        <v>110</v>
      </c>
      <c r="D51" s="20" t="s">
        <v>104</v>
      </c>
      <c r="E51" s="14" t="s">
        <v>32</v>
      </c>
      <c r="F51" s="14" t="s">
        <v>760</v>
      </c>
      <c r="G51" s="21" t="s">
        <v>10</v>
      </c>
      <c r="H51" s="15">
        <v>0.4</v>
      </c>
      <c r="I51" s="14" t="s">
        <v>372</v>
      </c>
      <c r="J51" s="14" t="s">
        <v>761</v>
      </c>
      <c r="K51" s="14" t="s">
        <v>762</v>
      </c>
      <c r="L51" s="14" t="s">
        <v>763</v>
      </c>
      <c r="M51" s="14" t="s">
        <v>764</v>
      </c>
      <c r="N51" s="14" t="s">
        <v>377</v>
      </c>
      <c r="O51" s="14" t="s">
        <v>765</v>
      </c>
    </row>
    <row r="52" spans="1:15" ht="75" customHeight="1" x14ac:dyDescent="0.25">
      <c r="A52" s="20">
        <v>48</v>
      </c>
      <c r="B52" s="14" t="s">
        <v>804</v>
      </c>
      <c r="C52" s="14" t="s">
        <v>116</v>
      </c>
      <c r="D52" s="20" t="s">
        <v>85</v>
      </c>
      <c r="E52" s="14" t="s">
        <v>27</v>
      </c>
      <c r="F52" s="14" t="s">
        <v>805</v>
      </c>
      <c r="G52" s="21" t="s">
        <v>10</v>
      </c>
      <c r="H52" s="15">
        <v>0.35</v>
      </c>
      <c r="I52" s="14" t="s">
        <v>372</v>
      </c>
      <c r="J52" s="14" t="s">
        <v>806</v>
      </c>
      <c r="K52" s="14" t="s">
        <v>371</v>
      </c>
      <c r="L52" s="14" t="s">
        <v>807</v>
      </c>
      <c r="M52" s="14" t="s">
        <v>91</v>
      </c>
      <c r="N52" s="14" t="s">
        <v>377</v>
      </c>
      <c r="O52" s="14" t="s">
        <v>685</v>
      </c>
    </row>
    <row r="53" spans="1:15" ht="75" customHeight="1" x14ac:dyDescent="0.25">
      <c r="A53" s="20">
        <v>49</v>
      </c>
      <c r="B53" s="14" t="s">
        <v>808</v>
      </c>
      <c r="C53" s="14" t="s">
        <v>116</v>
      </c>
      <c r="D53" s="20" t="s">
        <v>85</v>
      </c>
      <c r="E53" s="14" t="s">
        <v>39</v>
      </c>
      <c r="F53" s="14" t="s">
        <v>809</v>
      </c>
      <c r="G53" s="21" t="s">
        <v>10</v>
      </c>
      <c r="H53" s="15">
        <v>0.35</v>
      </c>
      <c r="I53" s="14" t="s">
        <v>372</v>
      </c>
      <c r="J53" s="14" t="s">
        <v>810</v>
      </c>
      <c r="K53" s="14" t="s">
        <v>811</v>
      </c>
      <c r="L53" s="14" t="s">
        <v>812</v>
      </c>
      <c r="M53" s="14" t="s">
        <v>91</v>
      </c>
      <c r="N53" s="14" t="s">
        <v>377</v>
      </c>
      <c r="O53" s="14" t="s">
        <v>813</v>
      </c>
    </row>
    <row r="54" spans="1:15" ht="75" customHeight="1" x14ac:dyDescent="0.25">
      <c r="A54" s="20">
        <v>50</v>
      </c>
      <c r="B54" s="14" t="s">
        <v>856</v>
      </c>
      <c r="C54" s="14" t="s">
        <v>110</v>
      </c>
      <c r="D54" s="20" t="s">
        <v>104</v>
      </c>
      <c r="E54" s="14" t="s">
        <v>32</v>
      </c>
      <c r="F54" s="14" t="s">
        <v>857</v>
      </c>
      <c r="G54" s="21" t="s">
        <v>10</v>
      </c>
      <c r="H54" s="15">
        <v>0.35</v>
      </c>
      <c r="I54" s="14" t="s">
        <v>372</v>
      </c>
      <c r="J54" s="14" t="s">
        <v>858</v>
      </c>
      <c r="K54" s="14" t="s">
        <v>859</v>
      </c>
      <c r="L54" s="14" t="s">
        <v>860</v>
      </c>
      <c r="M54" s="14" t="s">
        <v>91</v>
      </c>
      <c r="N54" s="14" t="s">
        <v>377</v>
      </c>
      <c r="O54" s="14" t="s">
        <v>861</v>
      </c>
    </row>
    <row r="55" spans="1:15" ht="75" customHeight="1" x14ac:dyDescent="0.25">
      <c r="A55" s="20">
        <v>51</v>
      </c>
      <c r="B55" s="14" t="s">
        <v>862</v>
      </c>
      <c r="C55" s="14" t="s">
        <v>110</v>
      </c>
      <c r="D55" s="20" t="s">
        <v>104</v>
      </c>
      <c r="E55" s="14" t="s">
        <v>32</v>
      </c>
      <c r="F55" s="14" t="s">
        <v>863</v>
      </c>
      <c r="G55" s="21" t="s">
        <v>10</v>
      </c>
      <c r="H55" s="15">
        <v>0.35</v>
      </c>
      <c r="I55" s="14" t="s">
        <v>372</v>
      </c>
      <c r="J55" s="14" t="s">
        <v>864</v>
      </c>
      <c r="K55" s="14" t="s">
        <v>865</v>
      </c>
      <c r="L55" s="14" t="s">
        <v>866</v>
      </c>
      <c r="M55" s="14" t="s">
        <v>91</v>
      </c>
      <c r="N55" s="14" t="s">
        <v>377</v>
      </c>
      <c r="O55" s="14" t="s">
        <v>867</v>
      </c>
    </row>
    <row r="56" spans="1:15" ht="75" customHeight="1" x14ac:dyDescent="0.25">
      <c r="A56" s="20">
        <v>52</v>
      </c>
      <c r="B56" s="14" t="s">
        <v>868</v>
      </c>
      <c r="C56" s="14" t="s">
        <v>127</v>
      </c>
      <c r="D56" s="20" t="s">
        <v>85</v>
      </c>
      <c r="E56" s="14" t="s">
        <v>27</v>
      </c>
      <c r="F56" s="14" t="s">
        <v>734</v>
      </c>
      <c r="G56" s="21" t="s">
        <v>10</v>
      </c>
      <c r="H56" s="15">
        <v>0.35</v>
      </c>
      <c r="I56" s="14" t="s">
        <v>372</v>
      </c>
      <c r="J56" s="14" t="s">
        <v>869</v>
      </c>
      <c r="K56" s="14" t="s">
        <v>870</v>
      </c>
      <c r="L56" s="14" t="s">
        <v>871</v>
      </c>
      <c r="M56" s="14" t="s">
        <v>91</v>
      </c>
      <c r="N56" s="14" t="s">
        <v>377</v>
      </c>
      <c r="O56" s="14" t="s">
        <v>872</v>
      </c>
    </row>
    <row r="57" spans="1:15" ht="66" customHeight="1" x14ac:dyDescent="0.25">
      <c r="A57" s="20">
        <v>53</v>
      </c>
      <c r="B57" s="14" t="s">
        <v>901</v>
      </c>
      <c r="C57" s="14" t="s">
        <v>116</v>
      </c>
      <c r="D57" s="20" t="s">
        <v>104</v>
      </c>
      <c r="E57" s="14" t="s">
        <v>32</v>
      </c>
      <c r="F57" s="14" t="s">
        <v>902</v>
      </c>
      <c r="G57" s="21" t="s">
        <v>10</v>
      </c>
      <c r="H57" s="15">
        <v>0.3</v>
      </c>
      <c r="I57" s="14" t="s">
        <v>87</v>
      </c>
      <c r="J57" s="14" t="s">
        <v>903</v>
      </c>
      <c r="K57" s="14" t="s">
        <v>904</v>
      </c>
      <c r="L57" s="14" t="s">
        <v>905</v>
      </c>
      <c r="M57" s="14" t="s">
        <v>91</v>
      </c>
      <c r="N57" s="14" t="s">
        <v>377</v>
      </c>
      <c r="O57" s="14" t="s">
        <v>906</v>
      </c>
    </row>
    <row r="58" spans="1:15" ht="75" customHeight="1" x14ac:dyDescent="0.25">
      <c r="A58" s="20">
        <v>54</v>
      </c>
      <c r="B58" s="14" t="s">
        <v>907</v>
      </c>
      <c r="C58" s="14" t="s">
        <v>110</v>
      </c>
      <c r="D58" s="20" t="s">
        <v>104</v>
      </c>
      <c r="E58" s="14" t="s">
        <v>32</v>
      </c>
      <c r="F58" s="14" t="s">
        <v>908</v>
      </c>
      <c r="G58" s="21" t="s">
        <v>10</v>
      </c>
      <c r="H58" s="15">
        <v>0.3</v>
      </c>
      <c r="I58" s="14" t="s">
        <v>372</v>
      </c>
      <c r="J58" s="14" t="s">
        <v>909</v>
      </c>
      <c r="K58" s="14" t="s">
        <v>910</v>
      </c>
      <c r="L58" s="14" t="s">
        <v>911</v>
      </c>
      <c r="M58" s="14" t="s">
        <v>912</v>
      </c>
      <c r="N58" s="14" t="s">
        <v>377</v>
      </c>
      <c r="O58" s="14" t="s">
        <v>913</v>
      </c>
    </row>
    <row r="59" spans="1:15" ht="102" customHeight="1" x14ac:dyDescent="0.25">
      <c r="A59" s="20">
        <v>55</v>
      </c>
      <c r="B59" s="14" t="s">
        <v>924</v>
      </c>
      <c r="C59" s="14" t="s">
        <v>116</v>
      </c>
      <c r="D59" s="20" t="s">
        <v>85</v>
      </c>
      <c r="E59" s="14" t="s">
        <v>27</v>
      </c>
      <c r="F59" s="14" t="s">
        <v>925</v>
      </c>
      <c r="G59" s="21" t="s">
        <v>10</v>
      </c>
      <c r="H59" s="15">
        <v>0.3</v>
      </c>
      <c r="I59" s="14" t="s">
        <v>87</v>
      </c>
      <c r="J59" s="14" t="s">
        <v>926</v>
      </c>
      <c r="K59" s="14" t="s">
        <v>927</v>
      </c>
      <c r="L59" s="14" t="s">
        <v>928</v>
      </c>
      <c r="M59" s="14" t="s">
        <v>91</v>
      </c>
      <c r="N59" s="14" t="s">
        <v>377</v>
      </c>
      <c r="O59" s="14" t="s">
        <v>929</v>
      </c>
    </row>
    <row r="60" spans="1:15" ht="54" customHeight="1" x14ac:dyDescent="0.25">
      <c r="A60" s="20">
        <v>56</v>
      </c>
      <c r="B60" s="14" t="s">
        <v>930</v>
      </c>
      <c r="C60" s="14" t="s">
        <v>116</v>
      </c>
      <c r="D60" s="20" t="s">
        <v>104</v>
      </c>
      <c r="E60" s="14" t="s">
        <v>32</v>
      </c>
      <c r="F60" s="14" t="s">
        <v>931</v>
      </c>
      <c r="G60" s="21" t="s">
        <v>10</v>
      </c>
      <c r="H60" s="15">
        <v>0.3</v>
      </c>
      <c r="I60" s="14" t="s">
        <v>87</v>
      </c>
      <c r="J60" s="14" t="s">
        <v>932</v>
      </c>
      <c r="K60" s="14" t="s">
        <v>933</v>
      </c>
      <c r="L60" s="14" t="s">
        <v>934</v>
      </c>
      <c r="M60" s="14" t="s">
        <v>91</v>
      </c>
      <c r="N60" s="14" t="s">
        <v>377</v>
      </c>
      <c r="O60" s="14" t="s">
        <v>935</v>
      </c>
    </row>
    <row r="61" spans="1:15" ht="75" customHeight="1" x14ac:dyDescent="0.25">
      <c r="A61" s="20">
        <v>57</v>
      </c>
      <c r="B61" s="14" t="s">
        <v>936</v>
      </c>
      <c r="C61" s="14" t="s">
        <v>110</v>
      </c>
      <c r="D61" s="20" t="s">
        <v>85</v>
      </c>
      <c r="E61" s="14" t="s">
        <v>27</v>
      </c>
      <c r="F61" s="14" t="s">
        <v>937</v>
      </c>
      <c r="G61" s="21" t="s">
        <v>10</v>
      </c>
      <c r="H61" s="15">
        <v>0.3</v>
      </c>
      <c r="I61" s="14" t="s">
        <v>425</v>
      </c>
      <c r="J61" s="14" t="s">
        <v>938</v>
      </c>
      <c r="K61" s="14" t="s">
        <v>939</v>
      </c>
      <c r="L61" s="14" t="s">
        <v>940</v>
      </c>
      <c r="M61" s="14" t="s">
        <v>91</v>
      </c>
      <c r="N61" s="14" t="s">
        <v>377</v>
      </c>
      <c r="O61" s="14" t="s">
        <v>941</v>
      </c>
    </row>
    <row r="62" spans="1:15" ht="78" customHeight="1" x14ac:dyDescent="0.25">
      <c r="A62" s="20">
        <v>58</v>
      </c>
      <c r="B62" s="14" t="s">
        <v>959</v>
      </c>
      <c r="C62" s="14" t="s">
        <v>110</v>
      </c>
      <c r="D62" s="20" t="s">
        <v>104</v>
      </c>
      <c r="E62" s="14" t="s">
        <v>32</v>
      </c>
      <c r="F62" s="14" t="s">
        <v>960</v>
      </c>
      <c r="G62" s="21" t="s">
        <v>10</v>
      </c>
      <c r="H62" s="15">
        <v>0.3</v>
      </c>
      <c r="I62" s="14" t="s">
        <v>87</v>
      </c>
      <c r="J62" s="14" t="s">
        <v>961</v>
      </c>
      <c r="K62" s="14" t="s">
        <v>962</v>
      </c>
      <c r="L62" s="14" t="s">
        <v>963</v>
      </c>
      <c r="M62" s="14" t="s">
        <v>91</v>
      </c>
      <c r="N62" s="14" t="s">
        <v>377</v>
      </c>
      <c r="O62" s="14" t="s">
        <v>964</v>
      </c>
    </row>
    <row r="63" spans="1:15" ht="75" customHeight="1" x14ac:dyDescent="0.25">
      <c r="A63" s="20">
        <v>59</v>
      </c>
      <c r="B63" s="14" t="s">
        <v>965</v>
      </c>
      <c r="C63" s="14" t="s">
        <v>110</v>
      </c>
      <c r="D63" s="20" t="s">
        <v>85</v>
      </c>
      <c r="E63" s="14" t="s">
        <v>39</v>
      </c>
      <c r="F63" s="14" t="s">
        <v>371</v>
      </c>
      <c r="G63" s="21" t="s">
        <v>10</v>
      </c>
      <c r="H63" s="15">
        <v>0.3</v>
      </c>
      <c r="I63" s="14" t="s">
        <v>372</v>
      </c>
      <c r="J63" s="14" t="s">
        <v>966</v>
      </c>
      <c r="K63" s="14" t="s">
        <v>371</v>
      </c>
      <c r="L63" s="14" t="s">
        <v>967</v>
      </c>
      <c r="M63" s="14" t="s">
        <v>91</v>
      </c>
      <c r="N63" s="14" t="s">
        <v>377</v>
      </c>
      <c r="O63" s="14" t="s">
        <v>968</v>
      </c>
    </row>
    <row r="64" spans="1:15" ht="78" customHeight="1" x14ac:dyDescent="0.25">
      <c r="A64" s="20">
        <v>60</v>
      </c>
      <c r="B64" s="14" t="s">
        <v>979</v>
      </c>
      <c r="C64" s="14" t="s">
        <v>127</v>
      </c>
      <c r="D64" s="20" t="s">
        <v>85</v>
      </c>
      <c r="E64" s="14" t="s">
        <v>27</v>
      </c>
      <c r="F64" s="14" t="s">
        <v>980</v>
      </c>
      <c r="G64" s="21" t="s">
        <v>10</v>
      </c>
      <c r="H64" s="15">
        <v>0.3</v>
      </c>
      <c r="I64" s="14" t="s">
        <v>87</v>
      </c>
      <c r="J64" s="14" t="s">
        <v>981</v>
      </c>
      <c r="K64" s="14" t="s">
        <v>982</v>
      </c>
      <c r="L64" s="14" t="s">
        <v>983</v>
      </c>
      <c r="M64" s="14" t="s">
        <v>91</v>
      </c>
      <c r="N64" s="14" t="s">
        <v>377</v>
      </c>
      <c r="O64" s="14" t="s">
        <v>984</v>
      </c>
    </row>
    <row r="65" spans="1:15" ht="75" customHeight="1" x14ac:dyDescent="0.25">
      <c r="A65" s="20">
        <v>61</v>
      </c>
      <c r="B65" s="14" t="s">
        <v>985</v>
      </c>
      <c r="C65" s="14" t="s">
        <v>116</v>
      </c>
      <c r="D65" s="20" t="s">
        <v>85</v>
      </c>
      <c r="E65" s="14" t="s">
        <v>27</v>
      </c>
      <c r="F65" s="14" t="s">
        <v>986</v>
      </c>
      <c r="G65" s="21" t="s">
        <v>10</v>
      </c>
      <c r="H65" s="15">
        <v>0.3</v>
      </c>
      <c r="I65" s="14" t="s">
        <v>372</v>
      </c>
      <c r="J65" s="14" t="s">
        <v>987</v>
      </c>
      <c r="K65" s="14" t="s">
        <v>371</v>
      </c>
      <c r="L65" s="14" t="s">
        <v>988</v>
      </c>
      <c r="M65" s="14" t="s">
        <v>91</v>
      </c>
      <c r="N65" s="14" t="s">
        <v>377</v>
      </c>
      <c r="O65" s="14" t="s">
        <v>685</v>
      </c>
    </row>
    <row r="66" spans="1:15" ht="78" customHeight="1" x14ac:dyDescent="0.25">
      <c r="A66" s="20">
        <v>62</v>
      </c>
      <c r="B66" s="14" t="s">
        <v>989</v>
      </c>
      <c r="C66" s="14" t="s">
        <v>116</v>
      </c>
      <c r="D66" s="20" t="s">
        <v>85</v>
      </c>
      <c r="E66" s="14" t="s">
        <v>27</v>
      </c>
      <c r="F66" s="14" t="s">
        <v>990</v>
      </c>
      <c r="G66" s="21" t="s">
        <v>10</v>
      </c>
      <c r="H66" s="15">
        <v>0.3</v>
      </c>
      <c r="I66" s="14" t="s">
        <v>87</v>
      </c>
      <c r="J66" s="14" t="s">
        <v>991</v>
      </c>
      <c r="K66" s="14" t="s">
        <v>992</v>
      </c>
      <c r="L66" s="14" t="s">
        <v>993</v>
      </c>
      <c r="M66" s="14" t="s">
        <v>91</v>
      </c>
      <c r="N66" s="14" t="s">
        <v>377</v>
      </c>
      <c r="O66" s="14" t="s">
        <v>994</v>
      </c>
    </row>
    <row r="67" spans="1:15" ht="75" customHeight="1" x14ac:dyDescent="0.25">
      <c r="A67" s="20">
        <v>63</v>
      </c>
      <c r="B67" s="14" t="s">
        <v>995</v>
      </c>
      <c r="C67" s="14" t="s">
        <v>84</v>
      </c>
      <c r="D67" s="20" t="s">
        <v>104</v>
      </c>
      <c r="E67" s="14" t="s">
        <v>32</v>
      </c>
      <c r="F67" s="14" t="s">
        <v>996</v>
      </c>
      <c r="G67" s="21" t="s">
        <v>10</v>
      </c>
      <c r="H67" s="15">
        <v>0.3</v>
      </c>
      <c r="I67" s="14" t="s">
        <v>372</v>
      </c>
      <c r="J67" s="14" t="s">
        <v>997</v>
      </c>
      <c r="K67" s="14" t="s">
        <v>998</v>
      </c>
      <c r="L67" s="14" t="s">
        <v>999</v>
      </c>
      <c r="M67" s="14" t="s">
        <v>91</v>
      </c>
      <c r="N67" s="14" t="s">
        <v>377</v>
      </c>
      <c r="O67" s="14" t="s">
        <v>601</v>
      </c>
    </row>
    <row r="68" spans="1:15" ht="75" customHeight="1" x14ac:dyDescent="0.25">
      <c r="A68" s="20">
        <v>64</v>
      </c>
      <c r="B68" s="14" t="s">
        <v>1012</v>
      </c>
      <c r="C68" s="14" t="s">
        <v>116</v>
      </c>
      <c r="D68" s="20" t="s">
        <v>85</v>
      </c>
      <c r="E68" s="14" t="s">
        <v>27</v>
      </c>
      <c r="F68" s="14" t="s">
        <v>1013</v>
      </c>
      <c r="G68" s="21" t="s">
        <v>10</v>
      </c>
      <c r="H68" s="15">
        <v>0.25</v>
      </c>
      <c r="I68" s="14" t="s">
        <v>372</v>
      </c>
      <c r="J68" s="14" t="s">
        <v>1014</v>
      </c>
      <c r="K68" s="14" t="s">
        <v>371</v>
      </c>
      <c r="L68" s="14" t="s">
        <v>1015</v>
      </c>
      <c r="M68" s="14" t="s">
        <v>91</v>
      </c>
      <c r="N68" s="14" t="s">
        <v>377</v>
      </c>
      <c r="O68" s="14" t="s">
        <v>1016</v>
      </c>
    </row>
    <row r="69" spans="1:15" ht="75" customHeight="1" x14ac:dyDescent="0.25">
      <c r="A69" s="20">
        <v>65</v>
      </c>
      <c r="B69" s="14" t="s">
        <v>1017</v>
      </c>
      <c r="C69" s="14" t="s">
        <v>110</v>
      </c>
      <c r="D69" s="20" t="s">
        <v>104</v>
      </c>
      <c r="E69" s="14" t="s">
        <v>32</v>
      </c>
      <c r="F69" s="14" t="s">
        <v>1018</v>
      </c>
      <c r="G69" s="21" t="s">
        <v>10</v>
      </c>
      <c r="H69" s="15">
        <v>0.25</v>
      </c>
      <c r="I69" s="14" t="s">
        <v>372</v>
      </c>
      <c r="J69" s="14" t="s">
        <v>1019</v>
      </c>
      <c r="K69" s="14" t="s">
        <v>1020</v>
      </c>
      <c r="L69" s="14" t="s">
        <v>1021</v>
      </c>
      <c r="M69" s="14" t="s">
        <v>91</v>
      </c>
      <c r="N69" s="14" t="s">
        <v>377</v>
      </c>
      <c r="O69" s="14" t="s">
        <v>1022</v>
      </c>
    </row>
    <row r="70" spans="1:15" ht="75" customHeight="1" x14ac:dyDescent="0.25">
      <c r="A70" s="20">
        <v>66</v>
      </c>
      <c r="B70" s="14" t="s">
        <v>1034</v>
      </c>
      <c r="C70" s="14" t="s">
        <v>110</v>
      </c>
      <c r="D70" s="20" t="s">
        <v>104</v>
      </c>
      <c r="E70" s="14" t="s">
        <v>32</v>
      </c>
      <c r="F70" s="14" t="s">
        <v>1035</v>
      </c>
      <c r="G70" s="21" t="s">
        <v>10</v>
      </c>
      <c r="H70" s="15">
        <v>0.25</v>
      </c>
      <c r="I70" s="14" t="s">
        <v>425</v>
      </c>
      <c r="J70" s="14" t="s">
        <v>1036</v>
      </c>
      <c r="K70" s="14" t="s">
        <v>1037</v>
      </c>
      <c r="L70" s="14" t="s">
        <v>1038</v>
      </c>
      <c r="M70" s="14" t="s">
        <v>91</v>
      </c>
      <c r="N70" s="14" t="s">
        <v>377</v>
      </c>
      <c r="O70" s="14" t="s">
        <v>1039</v>
      </c>
    </row>
    <row r="71" spans="1:15" ht="75" customHeight="1" x14ac:dyDescent="0.25">
      <c r="A71" s="20">
        <v>67</v>
      </c>
      <c r="B71" s="14" t="s">
        <v>1060</v>
      </c>
      <c r="C71" s="14" t="s">
        <v>116</v>
      </c>
      <c r="D71" s="20" t="s">
        <v>85</v>
      </c>
      <c r="E71" s="14" t="s">
        <v>27</v>
      </c>
      <c r="F71" s="14" t="s">
        <v>476</v>
      </c>
      <c r="G71" s="21" t="s">
        <v>10</v>
      </c>
      <c r="H71" s="15">
        <v>0.2</v>
      </c>
      <c r="I71" s="14" t="s">
        <v>372</v>
      </c>
      <c r="J71" s="14" t="s">
        <v>1061</v>
      </c>
      <c r="K71" s="14" t="s">
        <v>371</v>
      </c>
      <c r="L71" s="14" t="s">
        <v>1062</v>
      </c>
      <c r="M71" s="14" t="s">
        <v>91</v>
      </c>
      <c r="N71" s="14" t="s">
        <v>377</v>
      </c>
      <c r="O71" s="14" t="s">
        <v>685</v>
      </c>
    </row>
    <row r="72" spans="1:15" ht="75" customHeight="1" x14ac:dyDescent="0.25">
      <c r="A72" s="20">
        <v>68</v>
      </c>
      <c r="B72" s="14" t="s">
        <v>1063</v>
      </c>
      <c r="C72" s="14" t="s">
        <v>110</v>
      </c>
      <c r="D72" s="20" t="s">
        <v>104</v>
      </c>
      <c r="E72" s="14" t="s">
        <v>32</v>
      </c>
      <c r="F72" s="14" t="s">
        <v>1064</v>
      </c>
      <c r="G72" s="21" t="s">
        <v>10</v>
      </c>
      <c r="H72" s="15">
        <v>0.2</v>
      </c>
      <c r="I72" s="14" t="s">
        <v>372</v>
      </c>
      <c r="J72" s="14" t="s">
        <v>1065</v>
      </c>
      <c r="K72" s="14" t="s">
        <v>1066</v>
      </c>
      <c r="L72" s="14" t="s">
        <v>1067</v>
      </c>
      <c r="M72" s="14" t="s">
        <v>91</v>
      </c>
      <c r="N72" s="14" t="s">
        <v>377</v>
      </c>
      <c r="O72" s="14" t="s">
        <v>1068</v>
      </c>
    </row>
    <row r="73" spans="1:15" ht="75" customHeight="1" x14ac:dyDescent="0.25">
      <c r="A73" s="20">
        <v>69</v>
      </c>
      <c r="B73" s="14" t="s">
        <v>1069</v>
      </c>
      <c r="C73" s="14" t="s">
        <v>110</v>
      </c>
      <c r="D73" s="20" t="s">
        <v>104</v>
      </c>
      <c r="E73" s="14" t="s">
        <v>32</v>
      </c>
      <c r="F73" s="14" t="s">
        <v>908</v>
      </c>
      <c r="G73" s="21" t="s">
        <v>10</v>
      </c>
      <c r="H73" s="15">
        <v>0.2</v>
      </c>
      <c r="I73" s="14" t="s">
        <v>372</v>
      </c>
      <c r="J73" s="14" t="s">
        <v>1070</v>
      </c>
      <c r="K73" s="14" t="s">
        <v>1071</v>
      </c>
      <c r="L73" s="14" t="s">
        <v>1072</v>
      </c>
      <c r="M73" s="14" t="s">
        <v>91</v>
      </c>
      <c r="N73" s="14" t="s">
        <v>377</v>
      </c>
      <c r="O73" s="14" t="s">
        <v>1073</v>
      </c>
    </row>
    <row r="74" spans="1:15" ht="66" customHeight="1" x14ac:dyDescent="0.25">
      <c r="A74" s="20">
        <v>70</v>
      </c>
      <c r="B74" s="14" t="s">
        <v>1107</v>
      </c>
      <c r="C74" s="14" t="s">
        <v>116</v>
      </c>
      <c r="D74" s="20" t="s">
        <v>85</v>
      </c>
      <c r="E74" s="14" t="s">
        <v>27</v>
      </c>
      <c r="F74" s="14" t="s">
        <v>1108</v>
      </c>
      <c r="G74" s="21" t="s">
        <v>10</v>
      </c>
      <c r="H74" s="15">
        <v>0.15</v>
      </c>
      <c r="I74" s="14" t="s">
        <v>87</v>
      </c>
      <c r="J74" s="14" t="s">
        <v>1109</v>
      </c>
      <c r="K74" s="14" t="s">
        <v>1110</v>
      </c>
      <c r="L74" s="14" t="s">
        <v>1111</v>
      </c>
      <c r="M74" s="14" t="s">
        <v>91</v>
      </c>
      <c r="N74" s="14" t="s">
        <v>377</v>
      </c>
      <c r="O74" s="14" t="s">
        <v>1112</v>
      </c>
    </row>
    <row r="75" spans="1:15" ht="78" customHeight="1" x14ac:dyDescent="0.25">
      <c r="A75" s="20">
        <v>71</v>
      </c>
      <c r="B75" s="14" t="s">
        <v>1113</v>
      </c>
      <c r="C75" s="14" t="s">
        <v>84</v>
      </c>
      <c r="D75" s="20" t="s">
        <v>85</v>
      </c>
      <c r="E75" s="14" t="s">
        <v>39</v>
      </c>
      <c r="F75" s="14" t="s">
        <v>1114</v>
      </c>
      <c r="G75" s="21" t="s">
        <v>10</v>
      </c>
      <c r="H75" s="15">
        <v>0.15</v>
      </c>
      <c r="I75" s="14" t="s">
        <v>87</v>
      </c>
      <c r="J75" s="14" t="s">
        <v>1115</v>
      </c>
      <c r="K75" s="14" t="s">
        <v>1116</v>
      </c>
      <c r="L75" s="14" t="s">
        <v>1117</v>
      </c>
      <c r="M75" s="14" t="s">
        <v>91</v>
      </c>
      <c r="N75" s="14" t="s">
        <v>377</v>
      </c>
      <c r="O75" s="14" t="s">
        <v>1118</v>
      </c>
    </row>
    <row r="76" spans="1:15" ht="75" customHeight="1" x14ac:dyDescent="0.25">
      <c r="A76" s="20">
        <v>72</v>
      </c>
      <c r="B76" s="14" t="s">
        <v>1119</v>
      </c>
      <c r="C76" s="14" t="s">
        <v>116</v>
      </c>
      <c r="D76" s="20" t="s">
        <v>85</v>
      </c>
      <c r="E76" s="14" t="s">
        <v>27</v>
      </c>
      <c r="F76" s="14" t="s">
        <v>1120</v>
      </c>
      <c r="G76" s="21" t="s">
        <v>10</v>
      </c>
      <c r="H76" s="15">
        <v>0.15</v>
      </c>
      <c r="I76" s="14" t="s">
        <v>372</v>
      </c>
      <c r="J76" s="14" t="s">
        <v>1121</v>
      </c>
      <c r="K76" s="14" t="s">
        <v>1122</v>
      </c>
      <c r="L76" s="14" t="s">
        <v>1123</v>
      </c>
      <c r="M76" s="14" t="s">
        <v>91</v>
      </c>
      <c r="N76" s="14" t="s">
        <v>377</v>
      </c>
      <c r="O76" s="14" t="s">
        <v>1124</v>
      </c>
    </row>
    <row r="77" spans="1:15" ht="75" customHeight="1" x14ac:dyDescent="0.25">
      <c r="A77" s="20">
        <v>73</v>
      </c>
      <c r="B77" s="14" t="s">
        <v>1131</v>
      </c>
      <c r="C77" s="14" t="s">
        <v>127</v>
      </c>
      <c r="D77" s="20" t="s">
        <v>85</v>
      </c>
      <c r="E77" s="14" t="s">
        <v>27</v>
      </c>
      <c r="F77" s="14" t="s">
        <v>1132</v>
      </c>
      <c r="G77" s="21" t="s">
        <v>10</v>
      </c>
      <c r="H77" s="15">
        <v>0.15</v>
      </c>
      <c r="I77" s="14" t="s">
        <v>372</v>
      </c>
      <c r="J77" s="14" t="s">
        <v>1133</v>
      </c>
      <c r="K77" s="14" t="s">
        <v>1134</v>
      </c>
      <c r="L77" s="14" t="s">
        <v>1135</v>
      </c>
      <c r="M77" s="14" t="s">
        <v>91</v>
      </c>
      <c r="N77" s="14" t="s">
        <v>377</v>
      </c>
      <c r="O77" s="14" t="s">
        <v>1136</v>
      </c>
    </row>
    <row r="78" spans="1:15" ht="75" customHeight="1" x14ac:dyDescent="0.25">
      <c r="A78" s="20">
        <v>74</v>
      </c>
      <c r="B78" s="14" t="s">
        <v>1150</v>
      </c>
      <c r="C78" s="14" t="s">
        <v>110</v>
      </c>
      <c r="D78" s="20" t="s">
        <v>85</v>
      </c>
      <c r="E78" s="14" t="s">
        <v>27</v>
      </c>
      <c r="F78" s="14" t="s">
        <v>1151</v>
      </c>
      <c r="G78" s="21" t="s">
        <v>10</v>
      </c>
      <c r="H78" s="15">
        <v>0.1</v>
      </c>
      <c r="I78" s="14" t="s">
        <v>425</v>
      </c>
      <c r="J78" s="14" t="s">
        <v>1152</v>
      </c>
      <c r="K78" s="14" t="s">
        <v>1153</v>
      </c>
      <c r="L78" s="14" t="s">
        <v>1154</v>
      </c>
      <c r="M78" s="14" t="s">
        <v>91</v>
      </c>
      <c r="N78" s="14" t="s">
        <v>377</v>
      </c>
      <c r="O78" s="14" t="s">
        <v>1155</v>
      </c>
    </row>
    <row r="79" spans="1:15" ht="75" customHeight="1" x14ac:dyDescent="0.25">
      <c r="A79" s="20">
        <v>75</v>
      </c>
      <c r="B79" s="14" t="s">
        <v>1156</v>
      </c>
      <c r="C79" s="14" t="s">
        <v>110</v>
      </c>
      <c r="D79" s="20" t="s">
        <v>85</v>
      </c>
      <c r="E79" s="14" t="s">
        <v>27</v>
      </c>
      <c r="F79" s="14" t="s">
        <v>1157</v>
      </c>
      <c r="G79" s="21" t="s">
        <v>10</v>
      </c>
      <c r="H79" s="15">
        <v>0.1</v>
      </c>
      <c r="I79" s="14" t="s">
        <v>372</v>
      </c>
      <c r="J79" s="14" t="s">
        <v>1158</v>
      </c>
      <c r="K79" s="14" t="s">
        <v>371</v>
      </c>
      <c r="L79" s="14" t="s">
        <v>917</v>
      </c>
      <c r="M79" s="14" t="s">
        <v>91</v>
      </c>
      <c r="N79" s="14" t="s">
        <v>377</v>
      </c>
      <c r="O79" s="14" t="s">
        <v>467</v>
      </c>
    </row>
    <row r="80" spans="1:15" ht="75" customHeight="1" x14ac:dyDescent="0.25">
      <c r="A80" s="20">
        <v>76</v>
      </c>
      <c r="B80" s="14" t="s">
        <v>1165</v>
      </c>
      <c r="C80" s="14" t="s">
        <v>116</v>
      </c>
      <c r="D80" s="20" t="s">
        <v>85</v>
      </c>
      <c r="E80" s="14" t="s">
        <v>39</v>
      </c>
      <c r="F80" s="14" t="s">
        <v>1166</v>
      </c>
      <c r="G80" s="21" t="s">
        <v>10</v>
      </c>
      <c r="H80" s="15">
        <v>0.1</v>
      </c>
      <c r="I80" s="14" t="s">
        <v>372</v>
      </c>
      <c r="J80" s="14" t="s">
        <v>1167</v>
      </c>
      <c r="K80" s="14" t="s">
        <v>1168</v>
      </c>
      <c r="L80" s="14" t="s">
        <v>1169</v>
      </c>
      <c r="M80" s="14" t="s">
        <v>1170</v>
      </c>
      <c r="N80" s="14" t="s">
        <v>377</v>
      </c>
      <c r="O80" s="14" t="s">
        <v>685</v>
      </c>
    </row>
    <row r="81" spans="1:15" ht="75" customHeight="1" x14ac:dyDescent="0.25">
      <c r="A81" s="20">
        <v>77</v>
      </c>
      <c r="B81" s="14" t="s">
        <v>1188</v>
      </c>
      <c r="C81" s="14" t="s">
        <v>110</v>
      </c>
      <c r="D81" s="20" t="s">
        <v>104</v>
      </c>
      <c r="E81" s="14" t="s">
        <v>32</v>
      </c>
      <c r="F81" s="14" t="s">
        <v>1189</v>
      </c>
      <c r="G81" s="21" t="s">
        <v>10</v>
      </c>
      <c r="H81" s="15">
        <v>0.1</v>
      </c>
      <c r="I81" s="14" t="s">
        <v>372</v>
      </c>
      <c r="J81" s="14" t="s">
        <v>1190</v>
      </c>
      <c r="K81" s="14" t="s">
        <v>1191</v>
      </c>
      <c r="L81" s="14" t="s">
        <v>1192</v>
      </c>
      <c r="M81" s="14" t="s">
        <v>91</v>
      </c>
      <c r="N81" s="14" t="s">
        <v>377</v>
      </c>
      <c r="O81" s="14" t="s">
        <v>1193</v>
      </c>
    </row>
    <row r="82" spans="1:15" ht="75" customHeight="1" x14ac:dyDescent="0.25">
      <c r="A82" s="20">
        <v>78</v>
      </c>
      <c r="B82" s="14" t="s">
        <v>1210</v>
      </c>
      <c r="C82" s="14" t="s">
        <v>116</v>
      </c>
      <c r="D82" s="20" t="s">
        <v>85</v>
      </c>
      <c r="E82" s="14" t="s">
        <v>27</v>
      </c>
      <c r="F82" s="14" t="s">
        <v>1211</v>
      </c>
      <c r="G82" s="21" t="s">
        <v>10</v>
      </c>
      <c r="H82" s="15">
        <v>0.05</v>
      </c>
      <c r="I82" s="14" t="s">
        <v>372</v>
      </c>
      <c r="J82" s="14" t="s">
        <v>1212</v>
      </c>
      <c r="K82" s="14" t="s">
        <v>1213</v>
      </c>
      <c r="L82" s="14" t="s">
        <v>1214</v>
      </c>
      <c r="M82" s="14" t="s">
        <v>91</v>
      </c>
      <c r="N82" s="14" t="s">
        <v>377</v>
      </c>
      <c r="O82" s="14" t="s">
        <v>685</v>
      </c>
    </row>
    <row r="83" spans="1:15" ht="75" customHeight="1" x14ac:dyDescent="0.25">
      <c r="A83" s="20">
        <v>79</v>
      </c>
      <c r="B83" s="14" t="s">
        <v>1215</v>
      </c>
      <c r="C83" s="14" t="s">
        <v>127</v>
      </c>
      <c r="D83" s="20" t="s">
        <v>104</v>
      </c>
      <c r="E83" s="14" t="s">
        <v>32</v>
      </c>
      <c r="F83" s="14" t="s">
        <v>1216</v>
      </c>
      <c r="G83" s="21" t="s">
        <v>10</v>
      </c>
      <c r="H83" s="15">
        <v>0.05</v>
      </c>
      <c r="I83" s="14" t="s">
        <v>372</v>
      </c>
      <c r="J83" s="14" t="s">
        <v>1217</v>
      </c>
      <c r="K83" s="14" t="s">
        <v>1218</v>
      </c>
      <c r="L83" s="14" t="s">
        <v>1219</v>
      </c>
      <c r="M83" s="14" t="s">
        <v>91</v>
      </c>
      <c r="N83" s="14" t="s">
        <v>377</v>
      </c>
      <c r="O83" s="14" t="s">
        <v>1220</v>
      </c>
    </row>
    <row r="84" spans="1:15" ht="75" customHeight="1" x14ac:dyDescent="0.25">
      <c r="A84" s="20">
        <v>80</v>
      </c>
      <c r="B84" s="14" t="s">
        <v>1236</v>
      </c>
      <c r="C84" s="14" t="s">
        <v>127</v>
      </c>
      <c r="D84" s="20" t="s">
        <v>85</v>
      </c>
      <c r="E84" s="14" t="s">
        <v>27</v>
      </c>
      <c r="F84" s="14" t="s">
        <v>1237</v>
      </c>
      <c r="G84" s="21" t="s">
        <v>10</v>
      </c>
      <c r="H84" s="15">
        <v>0</v>
      </c>
      <c r="I84" s="14" t="s">
        <v>372</v>
      </c>
      <c r="J84" s="14" t="s">
        <v>1238</v>
      </c>
      <c r="K84" s="14" t="s">
        <v>1239</v>
      </c>
      <c r="L84" s="14" t="s">
        <v>1240</v>
      </c>
      <c r="M84" s="14" t="s">
        <v>91</v>
      </c>
      <c r="N84" s="14" t="s">
        <v>377</v>
      </c>
      <c r="O84" s="14" t="s">
        <v>1241</v>
      </c>
    </row>
    <row r="85" spans="1:15" ht="75" customHeight="1" x14ac:dyDescent="0.25">
      <c r="A85" s="20">
        <v>81</v>
      </c>
      <c r="B85" s="14" t="s">
        <v>1242</v>
      </c>
      <c r="C85" s="14" t="s">
        <v>84</v>
      </c>
      <c r="D85" s="20" t="s">
        <v>104</v>
      </c>
      <c r="E85" s="14" t="s">
        <v>32</v>
      </c>
      <c r="F85" s="14" t="s">
        <v>1243</v>
      </c>
      <c r="G85" s="21" t="s">
        <v>10</v>
      </c>
      <c r="H85" s="15">
        <v>0</v>
      </c>
      <c r="I85" s="14" t="s">
        <v>425</v>
      </c>
      <c r="J85" s="14" t="s">
        <v>1244</v>
      </c>
      <c r="K85" s="14" t="s">
        <v>1245</v>
      </c>
      <c r="L85" s="14" t="s">
        <v>1246</v>
      </c>
      <c r="M85" s="14" t="s">
        <v>91</v>
      </c>
      <c r="N85" s="14" t="s">
        <v>377</v>
      </c>
      <c r="O85" s="14" t="s">
        <v>1247</v>
      </c>
    </row>
  </sheetData>
  <autoFilter ref="A4:O85" xr:uid="{00000000-0009-0000-0000-000005000000}"/>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6"/>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0" customWidth="1"/>
    <col min="3" max="3" width="22" customWidth="1"/>
    <col min="4" max="4" width="13" customWidth="1"/>
    <col min="5" max="5" width="22" customWidth="1"/>
    <col min="6" max="6" width="24" customWidth="1"/>
    <col min="7" max="7" width="9" customWidth="1"/>
    <col min="8" max="8" width="11" customWidth="1"/>
    <col min="9" max="9" width="24" customWidth="1"/>
    <col min="10" max="10" width="45" customWidth="1"/>
    <col min="11" max="11" width="50" customWidth="1"/>
    <col min="12" max="12" width="65" customWidth="1"/>
    <col min="13" max="13" width="32" customWidth="1"/>
    <col min="14" max="14" width="42" customWidth="1"/>
    <col min="15" max="15" width="45" customWidth="1"/>
  </cols>
  <sheetData>
    <row r="1" spans="1:15" ht="18.75" x14ac:dyDescent="0.3">
      <c r="A1" s="18" t="s">
        <v>1252</v>
      </c>
    </row>
    <row r="2" spans="1:15" x14ac:dyDescent="0.25">
      <c r="A2" s="2" t="s">
        <v>73</v>
      </c>
    </row>
    <row r="4" spans="1:15" ht="30" customHeight="1" x14ac:dyDescent="0.25">
      <c r="A4" s="19" t="s">
        <v>74</v>
      </c>
      <c r="B4" s="19" t="s">
        <v>21</v>
      </c>
      <c r="C4" s="19" t="s">
        <v>75</v>
      </c>
      <c r="D4" s="19" t="s">
        <v>76</v>
      </c>
      <c r="E4" s="19" t="s">
        <v>13</v>
      </c>
      <c r="F4" s="19" t="s">
        <v>77</v>
      </c>
      <c r="G4" s="19" t="s">
        <v>2</v>
      </c>
      <c r="H4" s="19" t="s">
        <v>22</v>
      </c>
      <c r="I4" s="19" t="s">
        <v>78</v>
      </c>
      <c r="J4" s="19" t="s">
        <v>79</v>
      </c>
      <c r="K4" s="19" t="s">
        <v>80</v>
      </c>
      <c r="L4" s="19" t="s">
        <v>81</v>
      </c>
      <c r="M4" s="19" t="s">
        <v>82</v>
      </c>
      <c r="N4" s="19" t="s">
        <v>23</v>
      </c>
      <c r="O4" s="19" t="s">
        <v>83</v>
      </c>
    </row>
    <row r="5" spans="1:15" ht="75" customHeight="1" x14ac:dyDescent="0.25">
      <c r="A5" s="20">
        <v>1</v>
      </c>
      <c r="B5" s="14" t="s">
        <v>686</v>
      </c>
      <c r="C5" s="14" t="s">
        <v>116</v>
      </c>
      <c r="D5" s="20" t="s">
        <v>85</v>
      </c>
      <c r="E5" s="14" t="s">
        <v>687</v>
      </c>
      <c r="F5" s="14" t="s">
        <v>688</v>
      </c>
      <c r="G5" s="21" t="s">
        <v>10</v>
      </c>
      <c r="H5" s="15">
        <v>0.5</v>
      </c>
      <c r="I5" s="14" t="s">
        <v>372</v>
      </c>
      <c r="J5" s="14" t="s">
        <v>689</v>
      </c>
      <c r="K5" s="14" t="s">
        <v>690</v>
      </c>
      <c r="L5" s="14" t="s">
        <v>691</v>
      </c>
      <c r="M5" s="14" t="s">
        <v>91</v>
      </c>
      <c r="N5" s="14" t="s">
        <v>377</v>
      </c>
      <c r="O5" s="14" t="s">
        <v>692</v>
      </c>
    </row>
    <row r="6" spans="1:15" ht="75" customHeight="1" x14ac:dyDescent="0.25">
      <c r="A6" s="20">
        <v>2</v>
      </c>
      <c r="B6" s="14" t="s">
        <v>1194</v>
      </c>
      <c r="C6" s="14" t="s">
        <v>116</v>
      </c>
      <c r="D6" s="20" t="s">
        <v>85</v>
      </c>
      <c r="E6" s="14" t="s">
        <v>687</v>
      </c>
      <c r="F6" s="14" t="s">
        <v>1195</v>
      </c>
      <c r="G6" s="21" t="s">
        <v>10</v>
      </c>
      <c r="H6" s="15">
        <v>0.1</v>
      </c>
      <c r="I6" s="14" t="s">
        <v>372</v>
      </c>
      <c r="J6" s="14" t="s">
        <v>1196</v>
      </c>
      <c r="K6" s="14" t="s">
        <v>1197</v>
      </c>
      <c r="L6" s="14" t="s">
        <v>1198</v>
      </c>
      <c r="M6" s="14" t="s">
        <v>91</v>
      </c>
      <c r="N6" s="14" t="s">
        <v>377</v>
      </c>
      <c r="O6" s="14" t="s">
        <v>1199</v>
      </c>
    </row>
  </sheetData>
  <autoFilter ref="A4:O6" xr:uid="{00000000-0009-0000-0000-000006000000}"/>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Übersicht</vt:lpstr>
      <vt:lpstr>Ergebnisliste</vt:lpstr>
      <vt:lpstr>BW</vt:lpstr>
      <vt:lpstr>Bayern</vt:lpstr>
      <vt:lpstr>Österreich</vt:lpstr>
      <vt:lpstr>Rest DE + NL</vt:lpstr>
      <vt:lpstr>Ausland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Gensch</cp:lastModifiedBy>
  <dcterms:created xsi:type="dcterms:W3CDTF">2026-10-08T10:38:46Z</dcterms:created>
  <dcterms:modified xsi:type="dcterms:W3CDTF">2026-10-08T14:17:56Z</dcterms:modified>
</cp:coreProperties>
</file>