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Ergebnisliste" sheetId="2" state="visible" r:id="rId4"/>
  </sheets>
  <definedNames>
    <definedName function="false" hidden="false" localSheetId="1" name="_xlnm.Print_Titles" vbProcedure="false">Ergebnisliste!$4:$4</definedName>
    <definedName function="false" hidden="true" localSheetId="1" name="_xlnm._FilterDatabase" vbProcedure="false">Ergebnisliste!$A$4:$I$112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<sst xmlns="http://schemas.openxmlformats.org/spreadsheetml/2006/main" count="822" uniqueCount="465">
  <si>
    <t xml:space="preserve">AIRTEC 2026 – Ergebnisübersicht</t>
  </si>
  <si>
    <t xml:space="preserve">Messe AIRTEC / DefenceTec / Counter-UAS, Augsburg, 20.–22.10.2026  |  Stand 08.10.2026</t>
  </si>
  <si>
    <t xml:space="preserve">Ampel</t>
  </si>
  <si>
    <t xml:space="preserve">Anzahl</t>
  </si>
  <si>
    <t xml:space="preserve">Anteil</t>
  </si>
  <si>
    <t xml:space="preserve">Bedeutung</t>
  </si>
  <si>
    <t xml:space="preserve">GRÜN</t>
  </si>
  <si>
    <t xml:space="preserve">≥ 90 % belastbar und Fertigung DE/AT/NL belegt</t>
  </si>
  <si>
    <t xml:space="preserve">GELB</t>
  </si>
  <si>
    <t xml:space="preserve">60–89 % oder Fertigung nicht eindeutig: Gespräch am Stand, Datenblatt</t>
  </si>
  <si>
    <t xml:space="preserve">ROT</t>
  </si>
  <si>
    <t xml:space="preserve">Unter 60 %, CRM-bekannt, kein Fertiger oder Fertigung außerhalb DE/AT/NL</t>
  </si>
  <si>
    <t xml:space="preserve">Gesamt</t>
  </si>
  <si>
    <t xml:space="preserve">Priorität Gelb</t>
  </si>
  <si>
    <t xml:space="preserve">P (Verguss)</t>
  </si>
  <si>
    <t xml:space="preserve">Sitz</t>
  </si>
  <si>
    <t xml:space="preserve">Nächster Schritt</t>
  </si>
  <si>
    <t xml:space="preserve">Leonardo Germany GmbH</t>
  </si>
  <si>
    <t xml:space="preserve">70 %</t>
  </si>
  <si>
    <t xml:space="preserve">Neuss</t>
  </si>
  <si>
    <t xml:space="preserve">Zuständigkeit Neuss vs. Konzern klären</t>
  </si>
  <si>
    <t xml:space="preserve">Gantner Instruments</t>
  </si>
  <si>
    <t xml:space="preserve">65 %</t>
  </si>
  <si>
    <t xml:space="preserve">Lauf a. d. Pegnitz</t>
  </si>
  <si>
    <t xml:space="preserve">Fertigungsort und Gantner-Einheit klären</t>
  </si>
  <si>
    <t xml:space="preserve">THYRA GmbH</t>
  </si>
  <si>
    <t xml:space="preserve">Darmstadt</t>
  </si>
  <si>
    <t xml:space="preserve">Nur Gesprächsaufhänger, Partner erfragen</t>
  </si>
  <si>
    <t xml:space="preserve">Variosystems Germany GmbH</t>
  </si>
  <si>
    <t xml:space="preserve">Geseke</t>
  </si>
  <si>
    <t xml:space="preserve">In Geseke anrufen: läuft Gießharz-Verguss, intern oder extern? CRM-Beziehung zu Heicks klären</t>
  </si>
  <si>
    <t xml:space="preserve">ARGUS INTERCEPTION GmbH</t>
  </si>
  <si>
    <t xml:space="preserve">60 %</t>
  </si>
  <si>
    <t xml:space="preserve">Rotenburg </t>
  </si>
  <si>
    <t xml:space="preserve">Am Stand fragen, wer Akku/Motoren/Steuergerät liefert und ob vergossen wird</t>
  </si>
  <si>
    <t xml:space="preserve">CUONICS GmbH</t>
  </si>
  <si>
    <t xml:space="preserve">Straubing</t>
  </si>
  <si>
    <t xml:space="preserve">Fragen, ob Baugruppen vergossen oder lackiert werden</t>
  </si>
  <si>
    <t xml:space="preserve">RIEGL Research &amp; Defense GmbH</t>
  </si>
  <si>
    <t xml:space="preserve">Horn</t>
  </si>
  <si>
    <t xml:space="preserve">Rechtseinheit klären, am Stand nach vergossenen Baugruppen fragen</t>
  </si>
  <si>
    <t xml:space="preserve">diondo GmbH</t>
  </si>
  <si>
    <t xml:space="preserve">Hattingen</t>
  </si>
  <si>
    <t xml:space="preserve">Quelle der Röntgenquellen und Isolationsart erfragen</t>
  </si>
  <si>
    <t xml:space="preserve">Kriterium und Grenzen</t>
  </si>
  <si>
    <t xml:space="preserve">•  Interessant ist ein Aussteller, wenn sein Endprodukt mit ≥ 90 % ein vergossenes Bauteil enthält (auch zugekauft) und ein Vergussprozess beim Hersteller plausibel ist. Ziel: Kunde kauft eine Vergussanlage und vergießt selbst.</t>
  </si>
  <si>
    <t xml:space="preserve">•  Kein Aussteller erreicht Grün: Ein vergossenes Bauteil ist bei keiner Firma belegt, die Prozentwerte sind Einschätzungen aus dem Produkttyp.</t>
  </si>
  <si>
    <t xml:space="preserve">•  Rund 85 der 108 Aussteller sind keine Elektronikfertiger (Hochschulen, Behörden, Verbände, Berater, Zerspaner, Maschinenbau, 3D-Druck, Faserverbund, Software). 13 stehen im CRM.</t>
  </si>
  <si>
    <t xml:space="preserve">•  Grenzen: Firmenseiten waren gesperrt, ausgewertet wurden Suchtreffer. Patente nur per Websuche, „keine Treffer“ ist kein Gegenbeweis. Mitarbeiter- und Umsatzzahlen nicht verwenden.</t>
  </si>
  <si>
    <t xml:space="preserve">AIRTEC 2026 – Ausstellerbewertung für Demak</t>
  </si>
  <si>
    <t xml:space="preserve">AIRTEC / DefenceTec / Counter-UAS, Augsburg, 20.–22.10.2026  |  Stand 08.10.2026  |  Kriterium: vergossenes Bauteil im Endprodukt (≥ 90 %), Fertigung in DE/AT/NL</t>
  </si>
  <si>
    <t xml:space="preserve">Nr.</t>
  </si>
  <si>
    <t xml:space="preserve">Firma</t>
  </si>
  <si>
    <t xml:space="preserve">Stand</t>
  </si>
  <si>
    <t xml:space="preserve">Messebereich</t>
  </si>
  <si>
    <t xml:space="preserve">Sitz / Gebiet</t>
  </si>
  <si>
    <t xml:space="preserve">Begründung der Einstufung</t>
  </si>
  <si>
    <t xml:space="preserve">P4100</t>
  </si>
  <si>
    <t xml:space="preserve">Counter-UAS</t>
  </si>
  <si>
    <t xml:space="preserve">Rotenburg (Wümme), NI</t>
  </si>
  <si>
    <t xml:space="preserve">Abfangdrohne A1-Falke (Akku, Motoren, Flugsteuerung wahrscheinlich zugekauft). Serienaufbau in Rotenburg per Stellenanzeigen belegt, aber noch im Aufbau. Verguss weder belegt noch sind Lieferanten bekannt.</t>
  </si>
  <si>
    <t xml:space="preserve">P1400</t>
  </si>
  <si>
    <t xml:space="preserve">DefenceTec</t>
  </si>
  <si>
    <t xml:space="preserve">Straubing, BY</t>
  </si>
  <si>
    <t xml:space="preserve">Avionik (Flugsteuerung, I/O) mit belegter Eigenfertigung in Straubing (EN 9100). Bei Avionik ist Schutzlack häufiger als Verguss, daher nur 60 %.</t>
  </si>
  <si>
    <t xml:space="preserve">N3000</t>
  </si>
  <si>
    <t xml:space="preserve">AIRTEC</t>
  </si>
  <si>
    <t xml:space="preserve">Lauf a. d. Pegnitz, BY</t>
  </si>
  <si>
    <t xml:space="preserve">Messmodule (Q.series, IP20 laut Datenblatt). Ob die Q-Module in Lauf a.d. Pegnitz gefertigt werden, ist nicht belegt (Zwönitz gehört zu Gantner Environment). Trennverstärker/DC-DC evtl. zugekauft.</t>
  </si>
  <si>
    <t xml:space="preserve">N1100</t>
  </si>
  <si>
    <t xml:space="preserve">Neuss, NRW</t>
  </si>
  <si>
    <t xml:space="preserve">Wetter-/Luftraumradar mit Hochspannungs- und Sendermodulen, bei denen Verguss typisch ist. Neuss als Fertigungsort belegt, scheint aber Montage und Test; Konzernentscheidung wahrscheinlich.</t>
  </si>
  <si>
    <t xml:space="preserve">P2100</t>
  </si>
  <si>
    <t xml:space="preserve">Horn, Österreich</t>
  </si>
  <si>
    <t xml:space="preserve">Laserscanner mit Elektronik/Netzteil, Fertigung in Horn (AT) belegt. IP64 steht nur auf einer Drittseite und wäre ohnehin kein Verguss-Beleg.</t>
  </si>
  <si>
    <t xml:space="preserve">P4200</t>
  </si>
  <si>
    <t xml:space="preserve">Darmstadt, HE</t>
  </si>
  <si>
    <t xml:space="preserve">Counter-Drohne NEPTOR, Entwicklung in Darmstadt belegt. Serienfertigung noch nicht belegt; Avionik und Antriebe kommen von externen Partnern, dort läge der Vergussbedarf.</t>
  </si>
  <si>
    <t xml:space="preserve">P2000</t>
  </si>
  <si>
    <t xml:space="preserve">Geseke, NRW</t>
  </si>
  <si>
    <t xml:space="preserve">Elektronikdienstleister (EMS), Fertigung in Geseke belegt. "Potting" steht nur im Gruppenprofil einer Handelskammer (Sekundärquelle). In Geseke ist nur Parylene belegt, kein Gießharz-Verguss. Jey wollte zunächst 90 %, Prüfung belegt nur 65 %, Jey übernimmt Prüfung. CRM: Heicks Industrieelektronik (Übernahme in Geseke).</t>
  </si>
  <si>
    <t xml:space="preserve">P1200</t>
  </si>
  <si>
    <t xml:space="preserve">Hattingen, NRW</t>
  </si>
  <si>
    <t xml:space="preserve">CT-Systeme mit zugekauften Röntgenquellen (Isolation oft Öl, Art unklar). Hattingen als Fertigungsort belegt.</t>
  </si>
  <si>
    <t xml:space="preserve">Becker Avionics GmbH</t>
  </si>
  <si>
    <t xml:space="preserve">N3800</t>
  </si>
  <si>
    <t xml:space="preserve">–</t>
  </si>
  <si>
    <t xml:space="preserve">Rheinmetall-Rheinmünster / Ettlingen, BW</t>
  </si>
  <si>
    <t xml:space="preserve">Bereits im CRM (Becker Avionics GmbH). Bei bekannten Firmen entfällt die Neuakquise; nur Lead-Ergänzung.</t>
  </si>
  <si>
    <t xml:space="preserve">Compact Dynamics GmbH</t>
  </si>
  <si>
    <t xml:space="preserve">N2400</t>
  </si>
  <si>
    <t xml:space="preserve">Starnberg, BY</t>
  </si>
  <si>
    <t xml:space="preserve">Bereits im CRM (Compact; Compact Dynamics; Compact Dynamics GmbH). Bei bekannten Firmen entfällt die Neuakquise; nur Lead-Ergänzung.</t>
  </si>
  <si>
    <t xml:space="preserve">CustomCells GmbH</t>
  </si>
  <si>
    <t xml:space="preserve">P1100</t>
  </si>
  <si>
    <t xml:space="preserve">Itzehoe, SH</t>
  </si>
  <si>
    <t xml:space="preserve">Bereits im CRM (Customcells Holding GmbH). Bei bekannten Firmen entfällt die Neuakquise; nur Lead-Ergänzung.</t>
  </si>
  <si>
    <t xml:space="preserve">Effegi Elettronica S.r.l.</t>
  </si>
  <si>
    <t xml:space="preserve">N4300</t>
  </si>
  <si>
    <t xml:space="preserve">n. b.</t>
  </si>
  <si>
    <t xml:space="preserve">Vigone (Turin), Italien</t>
  </si>
  <si>
    <t xml:space="preserve">Elektronikdienstleister in Italien (Vigone), Fertigung nicht in DE/AT/NL. Verguss nicht belegt.</t>
  </si>
  <si>
    <t xml:space="preserve">eMoSys GmbH</t>
  </si>
  <si>
    <t xml:space="preserve">N2200</t>
  </si>
  <si>
    <t xml:space="preserve">Bereits im CRM (eMOSyS gmbh). Bei bekannten Firmen entfällt die Neuakquise; nur Lead-Ergänzung.</t>
  </si>
  <si>
    <t xml:space="preserve">HARTING Deutschland GmbH &amp; Co. KG</t>
  </si>
  <si>
    <t xml:space="preserve">R1000</t>
  </si>
  <si>
    <t xml:space="preserve">Espelkamp, NRW</t>
  </si>
  <si>
    <t xml:space="preserve">Bereits im CRM (HARTING Automotive GmbH; HARTING Deutschland GmbH &amp; Co. KG). Bei bekannten Firmen entfällt die Neuakquise; nur Lead-Ergänzung.</t>
  </si>
  <si>
    <t xml:space="preserve">HYBtronics Microsystems, S.A.</t>
  </si>
  <si>
    <t xml:space="preserve">N1000</t>
  </si>
  <si>
    <t xml:space="preserve">Vitoria-Gasteiz, Spanien</t>
  </si>
  <si>
    <t xml:space="preserve">Sitz Spanien, Produkt nicht belegt, Verwechslung mit HYB d.o.o. nicht ausgeschlossen.</t>
  </si>
  <si>
    <t xml:space="preserve">KE-TEC GmbH</t>
  </si>
  <si>
    <t xml:space="preserve">P2600</t>
  </si>
  <si>
    <t xml:space="preserve">Betzigau, BY</t>
  </si>
  <si>
    <t xml:space="preserve">Einzige Quelle ist ein Registereintrag von 2007, keine Produktseite. Unzureichend recherchierbar.</t>
  </si>
  <si>
    <t xml:space="preserve">nVent SCHROFF</t>
  </si>
  <si>
    <t xml:space="preserve">R2100</t>
  </si>
  <si>
    <t xml:space="preserve">40 %</t>
  </si>
  <si>
    <t xml:space="preserve">Straubenhardt, BW</t>
  </si>
  <si>
    <t xml:space="preserve">Kernprodukt sind mechanische Gehäuse und Subracks, Netzteile werden zugekauft. Verguss im Produkt nicht belegt und nicht typisch.</t>
  </si>
  <si>
    <t xml:space="preserve">pikatron GmbH</t>
  </si>
  <si>
    <t xml:space="preserve">P3200</t>
  </si>
  <si>
    <t xml:space="preserve">Usingen, HE</t>
  </si>
  <si>
    <t xml:space="preserve">Bereits im CRM (Pikatron; Pikatron GmbH; PIKATRON GMBH). Bei bekannten Firmen entfällt die Neuakquise; nur Lead-Ergänzung.</t>
  </si>
  <si>
    <t xml:space="preserve">Rosenberger Hochfrequenztechnik GmbH &amp; Co. KG</t>
  </si>
  <si>
    <t xml:space="preserve">R2200</t>
  </si>
  <si>
    <t xml:space="preserve">45 %</t>
  </si>
  <si>
    <t xml:space="preserve">Fridolfing, BY</t>
  </si>
  <si>
    <t xml:space="preserve">Hochvolt- und HF-Steckverbinder (Fridolfing belegt). Abgedichtet wird eher per Dichtung oder Umspritzen als per Verguss; das Produkt ist selbst nur eine Komponente.</t>
  </si>
  <si>
    <t xml:space="preserve">Skyeton Germany GmbH</t>
  </si>
  <si>
    <t xml:space="preserve">P1500</t>
  </si>
  <si>
    <t xml:space="preserve">unbekannt (Mutter Ukraine)</t>
  </si>
  <si>
    <t xml:space="preserve">Fertigung in Deutschland nicht belegt, frühestens 2028 geplant; GmbH im Register nicht gefunden.</t>
  </si>
  <si>
    <t xml:space="preserve">Turck Beierfeld GmbH</t>
  </si>
  <si>
    <t xml:space="preserve">R2300</t>
  </si>
  <si>
    <t xml:space="preserve">Grünhain-Beierfeld, SN</t>
  </si>
  <si>
    <t xml:space="preserve">Bereits im CRM (Turck Beierfeld GmbH; TURCK Beierfeld GmbH). Bei bekannten Firmen entfällt die Neuakquise; nur Lead-Ergänzung.</t>
  </si>
  <si>
    <t xml:space="preserve">V4Smart GmbH &amp; Co. KG</t>
  </si>
  <si>
    <t xml:space="preserve">R1100</t>
  </si>
  <si>
    <t xml:space="preserve">20 %</t>
  </si>
  <si>
    <t xml:space="preserve">Ellwangen / Nördlingen</t>
  </si>
  <si>
    <t xml:space="preserve">Li-Ionen-Rundzelle, die Zelle selbst wird nicht vergossen. Modul- oder Pack-Bau nicht belegt. Konzernbezug zu VARTA/Porsche im CRM.</t>
  </si>
  <si>
    <t xml:space="preserve">Würth Elektronik GmbH &amp; Co. KG</t>
  </si>
  <si>
    <t xml:space="preserve">N3600</t>
  </si>
  <si>
    <t xml:space="preserve">Waldenburg, BW</t>
  </si>
  <si>
    <t xml:space="preserve">Bereits im CRM (Würth Elektronik; Würth Elektronik eiSos GmbH &amp; Co. KG). Bei bekannten Firmen entfällt die Neuakquise; nur Lead-Ergänzung.</t>
  </si>
  <si>
    <t xml:space="preserve">ADSH – Augsburg Defence StartHub</t>
  </si>
  <si>
    <t xml:space="preserve">N5500</t>
  </si>
  <si>
    <t xml:space="preserve">5 %</t>
  </si>
  <si>
    <t xml:space="preserve">nicht verifiziert</t>
  </si>
  <si>
    <t xml:space="preserve">Kein Verguss-Bauteil im Produkt zu erwarten. Kein Treffer zu "Augsburg Defence StartHub" (nur StartHub der Uni Augsburg). Kein Fertiger, nicht verifiziert. Kein Weitergang.</t>
  </si>
  <si>
    <t xml:space="preserve">Airbus Protect GmbH</t>
  </si>
  <si>
    <t xml:space="preserve">M1100</t>
  </si>
  <si>
    <t xml:space="preserve">Taufkirchen</t>
  </si>
  <si>
    <t xml:space="preserve">Bereits im CRM (Airbus). Bei bekannten Firmen entfällt die Neuakquise; nur Lead-Ergänzung. Nur Konzernmutter im CRM, Zuständigkeit vor Kontakt klären.</t>
  </si>
  <si>
    <t xml:space="preserve">Augsburg Innovationspark GmbH</t>
  </si>
  <si>
    <t xml:space="preserve">N5100</t>
  </si>
  <si>
    <t xml:space="preserve">Augsburg</t>
  </si>
  <si>
    <t xml:space="preserve">Kein Verguss-Bauteil im Produkt zu erwarten. Betreibergesellschaft, kein Fertiger; Details nicht verifiziert.</t>
  </si>
  <si>
    <t xml:space="preserve">BAAINBw</t>
  </si>
  <si>
    <t xml:space="preserve">R1200</t>
  </si>
  <si>
    <t xml:space="preserve">0 %</t>
  </si>
  <si>
    <t xml:space="preserve">Koblenz</t>
  </si>
  <si>
    <t xml:space="preserve">Kein Verguss-Bauteil im Produkt zu erwarten. Behörde</t>
  </si>
  <si>
    <t xml:space="preserve">Battenberg Robotic GmbH &amp; Co. KG</t>
  </si>
  <si>
    <t xml:space="preserve">N4600</t>
  </si>
  <si>
    <t xml:space="preserve">10 %</t>
  </si>
  <si>
    <t xml:space="preserve">Sitz weiterhin nicht belegt</t>
  </si>
  <si>
    <t xml:space="preserve">Prüfroboter (Marburg laut Fachpresse), kein vergossenes Bauteil typisch.</t>
  </si>
  <si>
    <t xml:space="preserve">BICONEX</t>
  </si>
  <si>
    <t xml:space="preserve">M5000</t>
  </si>
  <si>
    <t xml:space="preserve">Dresden</t>
  </si>
  <si>
    <t xml:space="preserve">Kein Verguss-Bauteil im Produkt zu erwarten. Beschichtung/Metallisierung, kein Verguss. Von Prüfung nur kurz bestätigt.</t>
  </si>
  <si>
    <t xml:space="preserve">BIEGLO GmbH</t>
  </si>
  <si>
    <t xml:space="preserve">P1000</t>
  </si>
  <si>
    <t xml:space="preserve">Kein Verguss-Bauteil im Produkt zu erwarten. Auch Suche: keine Treffer. Firma nicht identifizierbar. Nachbesserung: Handelsregister/Ausstellerliste manuell prüfen.</t>
  </si>
  <si>
    <t xml:space="preserve">BIONTEC AG</t>
  </si>
  <si>
    <t xml:space="preserve">M2200</t>
  </si>
  <si>
    <t xml:space="preserve">St. Gallen</t>
  </si>
  <si>
    <t xml:space="preserve">Faserverbundkunststoffe, Sitz Schweiz, Zuordnung zum Aussteller nicht verifiziert.</t>
  </si>
  <si>
    <t xml:space="preserve">Buchner GmbH &amp; Co. KG</t>
  </si>
  <si>
    <t xml:space="preserve">N3900</t>
  </si>
  <si>
    <t xml:space="preserve">Kein Verguss-Bauteil im Produkt zu erwarten. Firma nicht identifiziert (Suche liefert keine Buchner-AIRTEC-Verbindung). Nachbesserung: Ausstellerverzeichnis airtec.aero manuell.</t>
  </si>
  <si>
    <t xml:space="preserve">CMMC GmbH</t>
  </si>
  <si>
    <t xml:space="preserve">M2000</t>
  </si>
  <si>
    <t xml:space="preserve">Chemnitz</t>
  </si>
  <si>
    <t xml:space="preserve">Kein Verguss-Bauteil im Produkt zu erwarten. Werkstofflieferant, kein Verguss.</t>
  </si>
  <si>
    <t xml:space="preserve">Collier Aerospace</t>
  </si>
  <si>
    <t xml:space="preserve">N4000</t>
  </si>
  <si>
    <t xml:space="preserve">Newport News</t>
  </si>
  <si>
    <t xml:space="preserve">Kein Verguss-Bauteil im Produkt zu erwarten. Engineering-Software, kein Fertiger.</t>
  </si>
  <si>
    <t xml:space="preserve">Composites United e.V.</t>
  </si>
  <si>
    <t xml:space="preserve">M2140</t>
  </si>
  <si>
    <t xml:space="preserve">Berlin</t>
  </si>
  <si>
    <t xml:space="preserve">Kein Verguss-Bauteil im Produkt zu erwarten. Verband; kein Fertiger. Kurzbestätigung.</t>
  </si>
  <si>
    <t xml:space="preserve">CONDOR / GERMAN DRONES</t>
  </si>
  <si>
    <t xml:space="preserve">P4400</t>
  </si>
  <si>
    <t xml:space="preserve">Essen</t>
  </si>
  <si>
    <t xml:space="preserve">Drohnen, Eigenfertigung in Essen nicht belegt.</t>
  </si>
  <si>
    <t xml:space="preserve">CONNECTEC JAPAN</t>
  </si>
  <si>
    <t xml:space="preserve">M4200</t>
  </si>
  <si>
    <t xml:space="preserve">80 %</t>
  </si>
  <si>
    <t xml:space="preserve">Myoko</t>
  </si>
  <si>
    <t xml:space="preserve">Verguss im Produkt wahrscheinlich (80 %), aber Fertigung in Japan, außerhalb DE/AT/NL.</t>
  </si>
  <si>
    <t xml:space="preserve">Connova AG</t>
  </si>
  <si>
    <t xml:space="preserve">M2210</t>
  </si>
  <si>
    <t xml:space="preserve">Villmergen</t>
  </si>
  <si>
    <t xml:space="preserve">Faserverbund und Klebstoffe (Schweiz); Elektronik-Verguss im Produkt unwahrscheinlich (40 % abgeleitet, unbelegt).</t>
  </si>
  <si>
    <t xml:space="preserve">CR Consult</t>
  </si>
  <si>
    <t xml:space="preserve">Kein Verguss-Bauteil im Produkt zu erwarten. Auch Suche: kein Treffer, Ausstellereintrag nicht auffindbar. Nachbesserung: Ausstellerliste manuell.</t>
  </si>
  <si>
    <t xml:space="preserve">CTC GmbH</t>
  </si>
  <si>
    <t xml:space="preserve">M2170</t>
  </si>
  <si>
    <t xml:space="preserve">Stade</t>
  </si>
  <si>
    <t xml:space="preserve">CFK-Strukturen, Airbus-Tochter (Airbus im CRM).</t>
  </si>
  <si>
    <t xml:space="preserve">DDTS – Drone Defense Test Systems</t>
  </si>
  <si>
    <t xml:space="preserve">P4300</t>
  </si>
  <si>
    <t xml:space="preserve">Kein Verguss-Bauteil im Produkt zu erwarten. Suche: keine Treffer. Nachbesserung: Identität manuell klären.</t>
  </si>
  <si>
    <t xml:space="preserve">Dieffenbacher GmbH</t>
  </si>
  <si>
    <t xml:space="preserve">M2160</t>
  </si>
  <si>
    <t xml:space="preserve">15 %</t>
  </si>
  <si>
    <t xml:space="preserve">Eppingen</t>
  </si>
  <si>
    <t xml:space="preserve">Kein Verguss-Bauteil im Produkt zu erwarten. Anlagenbauer; Größenangaben (1.700 MA, &gt;400 Mio. EUR) nicht verwendbar.</t>
  </si>
  <si>
    <t xml:space="preserve">DLR e.V.</t>
  </si>
  <si>
    <t xml:space="preserve">M2130</t>
  </si>
  <si>
    <t xml:space="preserve">Köln</t>
  </si>
  <si>
    <t xml:space="preserve">Kein Verguss-Bauteil im Produkt zu erwarten. Forschung, kein Fertiger</t>
  </si>
  <si>
    <t xml:space="preserve">DRAKE PLASTICS</t>
  </si>
  <si>
    <t xml:space="preserve">N3700</t>
  </si>
  <si>
    <t xml:space="preserve">Cypress TX, USA</t>
  </si>
  <si>
    <t xml:space="preserve">Kein Verguss-Bauteil im Produkt zu erwarten. unwahrscheinlich (Halbzeuge/Kunststoff), von Prüfung nur bestätigt, nicht tiefer geprüft</t>
  </si>
  <si>
    <t xml:space="preserve">EOS GmbH</t>
  </si>
  <si>
    <t xml:space="preserve">M5400</t>
  </si>
  <si>
    <t xml:space="preserve">Krailling</t>
  </si>
  <si>
    <t xml:space="preserve">Bereits im CRM (EOS). Bei bekannten Firmen entfällt die Neuakquise; nur Lead-Ergänzung. Nur Konzernmutter im CRM, Zuständigkeit vor Kontakt klären.</t>
  </si>
  <si>
    <t xml:space="preserve">EXPERT-Security</t>
  </si>
  <si>
    <t xml:space="preserve">3 %</t>
  </si>
  <si>
    <t xml:space="preserve">Kein Verguss-Bauteil im Produkt zu erwarten. Händler/Installateur, kein Fertiger</t>
  </si>
  <si>
    <t xml:space="preserve">F. Zimmermann GmbH</t>
  </si>
  <si>
    <t xml:space="preserve">P1600</t>
  </si>
  <si>
    <t xml:space="preserve">Neuhausen a.d.F.</t>
  </si>
  <si>
    <t xml:space="preserve">Kein Verguss-Bauteil im Produkt zu erwarten. Portalfräsmaschinen, kein Elektronik-Fertiger belegt</t>
  </si>
  <si>
    <t xml:space="preserve">FFT Produktionssysteme</t>
  </si>
  <si>
    <t xml:space="preserve">N4400</t>
  </si>
  <si>
    <t xml:space="preserve">Fulda</t>
  </si>
  <si>
    <t xml:space="preserve">Kein Verguss-Bauteil im Produkt zu erwarten. Wettbewerber/Lieferant (Anlagen, Applikationstechnik); MA-Zahl widersprüchlich, nicht verwenden</t>
  </si>
  <si>
    <t xml:space="preserve">Formlabs GmbH</t>
  </si>
  <si>
    <t xml:space="preserve">M5300</t>
  </si>
  <si>
    <t xml:space="preserve">25 %</t>
  </si>
  <si>
    <t xml:space="preserve">Somerville MA, USA</t>
  </si>
  <si>
    <t xml:space="preserve">Kein Verguss-Bauteil im Produkt zu erwarten. 3D-Druckharze, kein Verguss</t>
  </si>
  <si>
    <t xml:space="preserve">Fraunhofer AVIATION &amp; SPACE</t>
  </si>
  <si>
    <t xml:space="preserve">M3100</t>
  </si>
  <si>
    <t xml:space="preserve">Bremen</t>
  </si>
  <si>
    <t xml:space="preserve">Kein Verguss-Bauteil im Produkt zu erwarten. Forschungsallianz; Institute (IZM, IFAM) nur als Kooperationspartner</t>
  </si>
  <si>
    <t xml:space="preserve">Fuji Design Co., Ltd.</t>
  </si>
  <si>
    <t xml:space="preserve">M4300</t>
  </si>
  <si>
    <t xml:space="preserve">Kein Verguss-Bauteil im Produkt zu erwarten. nicht identifiziert, &lt;2 Quellen; Handrecherche nötig</t>
  </si>
  <si>
    <t xml:space="preserve">Gamma Technologies GmbH</t>
  </si>
  <si>
    <t xml:space="preserve">N3300</t>
  </si>
  <si>
    <t xml:space="preserve">Westmont IL, USA</t>
  </si>
  <si>
    <t xml:space="preserve">Kein Verguss-Bauteil im Produkt zu erwarten. Simulationssoftware</t>
  </si>
  <si>
    <t xml:space="preserve">GRADEL Light Weight</t>
  </si>
  <si>
    <t xml:space="preserve">M2100</t>
  </si>
  <si>
    <t xml:space="preserve">Luxemburg</t>
  </si>
  <si>
    <t xml:space="preserve">Kein Verguss-Bauteil im Produkt zu erwarten. Leichtbau/Faserwickeln, unwahrscheinlich</t>
  </si>
  <si>
    <t xml:space="preserve">GROB-WERKE</t>
  </si>
  <si>
    <t xml:space="preserve">R1130</t>
  </si>
  <si>
    <t xml:space="preserve">Mindelheim</t>
  </si>
  <si>
    <t xml:space="preserve">Bereits im CRM (GROB-WERKE GmbH &amp; Co. KG). Bei bekannten Firmen entfällt die Neuakquise; nur Lead-Ergänzung.</t>
  </si>
  <si>
    <t xml:space="preserve">Gubesch Group</t>
  </si>
  <si>
    <t xml:space="preserve">M2110</t>
  </si>
  <si>
    <t xml:space="preserve">Großraum Nürnberg</t>
  </si>
  <si>
    <t xml:space="preserve">Kein Verguss-Bauteil im Produkt zu erwarten. Thermoforming/Spritzguss, kein Vergusskunde belegt</t>
  </si>
  <si>
    <t xml:space="preserve">Haltermann Carless</t>
  </si>
  <si>
    <t xml:space="preserve">R2400</t>
  </si>
  <si>
    <t xml:space="preserve">Hamburg</t>
  </si>
  <si>
    <t xml:space="preserve">Kein Verguss-Bauteil im Produkt zu erwarten. Kraftstoffhersteller</t>
  </si>
  <si>
    <t xml:space="preserve">Harald Böhl GmbH</t>
  </si>
  <si>
    <t xml:space="preserve">N4100</t>
  </si>
  <si>
    <t xml:space="preserve">unbekannt</t>
  </si>
  <si>
    <t xml:space="preserve">Kein Verguss-Bauteil im Produkt zu erwarten. Suche (Exaktname): keine Treffer; ähnlicher Treffer "Böhl Kunststofftechnik GmbH &amp; Co. KG" (Waiblingen) – Zuordnung NICHT belegt, nicht übernommen. Nachrecherche nötig: Impressum/Handelsregister/Ausstellerprofil prüfen.</t>
  </si>
  <si>
    <t xml:space="preserve">HOFSTETTER, SCHURACK &amp; PARTNER</t>
  </si>
  <si>
    <t xml:space="preserve">N3400</t>
  </si>
  <si>
    <t xml:space="preserve">München</t>
  </si>
  <si>
    <t xml:space="preserve">Kein Verguss-Bauteil im Produkt zu erwarten. Patentkanzlei</t>
  </si>
  <si>
    <t xml:space="preserve">HQW Precision GmbH</t>
  </si>
  <si>
    <t xml:space="preserve">N4200</t>
  </si>
  <si>
    <t xml:space="preserve">Kürnach</t>
  </si>
  <si>
    <t xml:space="preserve">Kein Verguss-Bauteil im Produkt zu erwarten. Präzisionslager</t>
  </si>
  <si>
    <t xml:space="preserve">Hufschmied Zerspanungssysteme</t>
  </si>
  <si>
    <t xml:space="preserve">M2150</t>
  </si>
  <si>
    <t xml:space="preserve">Bobingen</t>
  </si>
  <si>
    <t xml:space="preserve">Kein Verguss-Bauteil im Produkt zu erwarten. Zerspanungswerkzeuge</t>
  </si>
  <si>
    <t xml:space="preserve">Hyogo Prefecture / NIRO</t>
  </si>
  <si>
    <t xml:space="preserve">M4400</t>
  </si>
  <si>
    <t xml:space="preserve">Kobe</t>
  </si>
  <si>
    <t xml:space="preserve">Kein Verguss-Bauteil im Produkt zu erwarten. Behörde/Forschungsorganisation, kein Fertiger, außerhalb Gebiet , Kurzprüfung plausibel). Nicht verwenden: jeder Aerospace-/Bedarfsbezug (nicht belegt).</t>
  </si>
  <si>
    <t xml:space="preserve">InnoZBw</t>
  </si>
  <si>
    <t xml:space="preserve">Erding</t>
  </si>
  <si>
    <t xml:space="preserve">Kein Verguss-Bauteil im Produkt zu erwarten. Bundeswehr-Dienststelle (BAAINBw), keine Fertigung; Quellen bundeswehr.de/esut.de von Tom. Kein Email-Vertrieb-Kontakt (Behörde/Vergaberecht).</t>
  </si>
  <si>
    <t xml:space="preserve">INOYAD GmbH</t>
  </si>
  <si>
    <t xml:space="preserve">Kein Verguss-Bauteil im Produkt zu erwarten. Suche "INOYAD GmbH" ohne jeden Treffer (nur ähnliche Namen wie IONAD, INOWA, INOCON; keine als Match gewertet). Weder Sitz noch Produkte belegbar. Nachrecherche nötig: Messekatalog/Handelsregister manuell. Nichts verwenden.</t>
  </si>
  <si>
    <t xml:space="preserve">IRON Cluster</t>
  </si>
  <si>
    <t xml:space="preserve">P4000</t>
  </si>
  <si>
    <t xml:space="preserve">Lviv</t>
  </si>
  <si>
    <t xml:space="preserve">Kein Verguss-Bauteil im Produkt zu erwarten. Cluster/Verband, kein Fertiger, Ukraine.</t>
  </si>
  <si>
    <t xml:space="preserve">ISP SYSTEM</t>
  </si>
  <si>
    <t xml:space="preserve">P1700</t>
  </si>
  <si>
    <t xml:space="preserve">35 %</t>
  </si>
  <si>
    <t xml:space="preserve">Vic-en-Bigorre</t>
  </si>
  <si>
    <t xml:space="preserve">Verformbare Spiegel/Aktuatoren, Fertigung in Frankreich.</t>
  </si>
  <si>
    <t xml:space="preserve">IWE GmbH &amp; Co. KG</t>
  </si>
  <si>
    <t xml:space="preserve">M2120</t>
  </si>
  <si>
    <t xml:space="preserve">Kein Verguss-Bauteil im Produkt zu erwarten. Suche (IWE + AIRTEC 2026) ohne Treffer; Firma nicht identifizierbar. IWE Spulen und Handling GmbH (Neustadt b. Coburg) nur Namensähnlichkeit, andere Rechtsform, Identität nicht belegt. Nachrecherche nötig.</t>
  </si>
  <si>
    <t xml:space="preserve">JOT Automation GmbH</t>
  </si>
  <si>
    <t xml:space="preserve">P3100</t>
  </si>
  <si>
    <t xml:space="preserve">Frankfurt am Main</t>
  </si>
  <si>
    <t xml:space="preserve">Kein Verguss-Bauteil im Produkt zu erwarten. Belegt: Konzern-HQ Oulu (mehrere Quellen, u. a. Circuits Assembly "JOT returns HQ to Oulu"), deutsche GmbH Frankfurt. Produktionsautomatisierung/Test-Anlagenbau = Anlagenlieferant, kein Hersteller vergossener Produkte, kein Kunde.</t>
  </si>
  <si>
    <t xml:space="preserve">Knoepfel AG</t>
  </si>
  <si>
    <t xml:space="preserve">N5300</t>
  </si>
  <si>
    <t xml:space="preserve">Walzenhausen</t>
  </si>
  <si>
    <t xml:space="preserve">Kein Verguss-Bauteil im Produkt zu erwarten. Zerspanung, Schweiz.</t>
  </si>
  <si>
    <t xml:space="preserve">KOWE CNC GmbH</t>
  </si>
  <si>
    <t xml:space="preserve">N3200</t>
  </si>
  <si>
    <t xml:space="preserve">Geinberg</t>
  </si>
  <si>
    <t xml:space="preserve">Kein Verguss-Bauteil im Produkt zu erwarten. Zerspanungs-Lohnfertiger, Verguss kaum Bedarf (Fit-Mangel, nicht Gebiets-Mangel).</t>
  </si>
  <si>
    <t xml:space="preserve">LANGZAUNER GmbH</t>
  </si>
  <si>
    <t xml:space="preserve">M2180</t>
  </si>
  <si>
    <t xml:space="preserve">Lambrechten</t>
  </si>
  <si>
    <t xml:space="preserve">Kein Verguss-Bauteil im Produkt zu erwarten. Pressen-/Automatisierungsbauer, kein Hersteller vergossener Produkte. Quelle lang.dev.hammerer.at ist Entwicklungs-Domain, nicht als Beleg verwenden.</t>
  </si>
  <si>
    <t xml:space="preserve">Lindauer Dornier GmbH</t>
  </si>
  <si>
    <t xml:space="preserve">M3300</t>
  </si>
  <si>
    <t xml:space="preserve">5-10 %</t>
  </si>
  <si>
    <t xml:space="preserve">Lindau</t>
  </si>
  <si>
    <t xml:space="preserve">Kein Verguss-Bauteil im Produkt zu erwarten. Maschinenbau, kein Elektronik-Verguss-Fit. Recherche Aussage "nicht verifiziert" damit bestätigt/ergänzt.</t>
  </si>
  <si>
    <t xml:space="preserve">Mark3D GmbH</t>
  </si>
  <si>
    <t xml:space="preserve">P2400</t>
  </si>
  <si>
    <t xml:space="preserve">DE, Ort unbekannt</t>
  </si>
  <si>
    <t xml:space="preserve">Kein Verguss-Bauteil im Produkt zu erwarten. Reseller/Berater 3D-Druck. Kurz bestätigt (Recherche Quellen).</t>
  </si>
  <si>
    <t xml:space="preserve">Marple</t>
  </si>
  <si>
    <t xml:space="preserve">N5400</t>
  </si>
  <si>
    <t xml:space="preserve">vermutl. Antwerpen BE, Identität ungeklärt</t>
  </si>
  <si>
    <t xml:space="preserve">Kein Verguss-Bauteil im Produkt zu erwarten. Software, Sitz außerhalb. Nicht eigenständig geprüft.</t>
  </si>
  <si>
    <t xml:space="preserve">MicroGenesis TechSoft GmbH</t>
  </si>
  <si>
    <t xml:space="preserve">Kein Verguss-Bauteil im Produkt zu erwarten. Software/PLM. Nicht eigenständig geprüft.</t>
  </si>
  <si>
    <t xml:space="preserve">Mittler Report Verlag GmbH</t>
  </si>
  <si>
    <t xml:space="preserve">P1300</t>
  </si>
  <si>
    <t xml:space="preserve">Bonn, NRW</t>
  </si>
  <si>
    <t xml:space="preserve">Kein Verguss-Bauteil im Produkt zu erwarten. Fachverlag, Impressum esut.de laut Tom.</t>
  </si>
  <si>
    <t xml:space="preserve">Mobility goes Additive e.V.</t>
  </si>
  <si>
    <t xml:space="preserve">M5100</t>
  </si>
  <si>
    <t xml:space="preserve">Berlin laut Drittdatenbank</t>
  </si>
  <si>
    <t xml:space="preserve">Kein Verguss-Bauteil im Produkt zu erwarten. Netzwerk/Verein.</t>
  </si>
  <si>
    <t xml:space="preserve">NAAMCE</t>
  </si>
  <si>
    <t xml:space="preserve">N2100</t>
  </si>
  <si>
    <t xml:space="preserve">Springfield, Ohio, USA</t>
  </si>
  <si>
    <t xml:space="preserve">Kein Verguss-Bauteil im Produkt zu erwarten. Testzentrum</t>
  </si>
  <si>
    <t xml:space="preserve">Nippon Graphite Fiber Corp.</t>
  </si>
  <si>
    <t xml:space="preserve">M4000</t>
  </si>
  <si>
    <t xml:space="preserve">Himeji JP, außerhalb</t>
  </si>
  <si>
    <t xml:space="preserve">Kein Verguss-Bauteil im Produkt zu erwarten. Außerhalb Gebiet, Faserwerkstoff.</t>
  </si>
  <si>
    <t xml:space="preserve">NoMoreMines Drone Fleet Concept</t>
  </si>
  <si>
    <t xml:space="preserve">P2300</t>
  </si>
  <si>
    <t xml:space="preserve">Kein Verguss-Bauteil im Produkt zu erwarten. Nicht belegbar (Konzept). Nicht verwenden: jede Fertigungs-/Verguss-Aussage.</t>
  </si>
  <si>
    <t xml:space="preserve">NSPA</t>
  </si>
  <si>
    <t xml:space="preserve">P2500</t>
  </si>
  <si>
    <t xml:space="preserve">Capellen LU, außerhalb</t>
  </si>
  <si>
    <t xml:space="preserve">Kein Verguss-Bauteil im Produkt zu erwarten. Beschaffungsagentur.</t>
  </si>
  <si>
    <t xml:space="preserve">Oannes Consulting GmbH</t>
  </si>
  <si>
    <t xml:space="preserve">Kein Verguss-Bauteil im Produkt zu erwarten. Nicht belegbar, vermutlich Beratung.</t>
  </si>
  <si>
    <t xml:space="preserve">OXEON AB / TeXtreme</t>
  </si>
  <si>
    <t xml:space="preserve">M3200</t>
  </si>
  <si>
    <t xml:space="preserve">Borås SE, außerhalb</t>
  </si>
  <si>
    <t xml:space="preserve">Kein Verguss-Bauteil im Produkt zu erwarten. Außerhalb Gebiet, Verstärkungstextil.</t>
  </si>
  <si>
    <t xml:space="preserve">Parmaco Metal Injection Molding AG</t>
  </si>
  <si>
    <t xml:space="preserve">N3100</t>
  </si>
  <si>
    <t xml:space="preserve">Fischingen CH, außerhalb</t>
  </si>
  <si>
    <t xml:space="preserve">Kein Verguss-Bauteil im Produkt zu erwarten. Außerhalb Gebiet, Metallteile.</t>
  </si>
  <si>
    <t xml:space="preserve">PCB Piezotronics GmbH</t>
  </si>
  <si>
    <t xml:space="preserve">R1400</t>
  </si>
  <si>
    <t xml:space="preserve">Hückelhoven, NRW</t>
  </si>
  <si>
    <t xml:space="preserve">Sensoren würden oft vergossen, aber die deutsche Einheit (Hückelhoven) ist nur Vertrieb, Service und Kalibrierung. Fertigung in den USA, nicht in DE/AT/NL.</t>
  </si>
  <si>
    <t xml:space="preserve">PERSICO SPA</t>
  </si>
  <si>
    <t xml:space="preserve">M3000</t>
  </si>
  <si>
    <t xml:space="preserve">Nembro IT, außerhalb</t>
  </si>
  <si>
    <t xml:space="preserve">Kein Verguss-Bauteil im Produkt zu erwarten. Außerhalb Gebiet.</t>
  </si>
  <si>
    <t xml:space="preserve">pk components GmbH</t>
  </si>
  <si>
    <t xml:space="preserve">Wendelstein, Bayern</t>
  </si>
  <si>
    <t xml:space="preserve">Kein Verguss-Bauteil im Produkt zu erwarten. Distributor.</t>
  </si>
  <si>
    <t xml:space="preserve">Porsche Werkzeugbau GmbH</t>
  </si>
  <si>
    <t xml:space="preserve">P3000</t>
  </si>
  <si>
    <t xml:space="preserve">Schwarzenberg, Sachsen</t>
  </si>
  <si>
    <t xml:space="preserve">Bereits im CRM (Porsche; Porsche AG). Bei bekannten Firmen entfällt die Neuakquise; nur Lead-Ergänzung. Nur Konzernmutter im CRM, Zuständigkeit vor Kontakt klären.</t>
  </si>
  <si>
    <t xml:space="preserve">RED Aircraft</t>
  </si>
  <si>
    <t xml:space="preserve">N4500</t>
  </si>
  <si>
    <t xml:space="preserve">Adenau</t>
  </si>
  <si>
    <t xml:space="preserve">Kein Verguss-Bauteil im Produkt zu erwarten. Dieselmotoren (A03 V12), Hybridgenerator mit Helix. Mechanisch, kein Verguss-Fit. Recherche Modellwissen damit bestätigt.</t>
  </si>
  <si>
    <t xml:space="preserve">Rees Zerspanungstechnik GmbH</t>
  </si>
  <si>
    <t xml:space="preserve">R3100</t>
  </si>
  <si>
    <t xml:space="preserve">Wehingen, Baden-Württemberg</t>
  </si>
  <si>
    <t xml:space="preserve">Kein Verguss-Bauteil im Produkt zu erwarten. Lohnzerspanung.</t>
  </si>
  <si>
    <t xml:space="preserve">Regio Augsburg Wirtschaft GmbH</t>
  </si>
  <si>
    <t xml:space="preserve">N5000</t>
  </si>
  <si>
    <t xml:space="preserve">Augsburg, Bayern</t>
  </si>
  <si>
    <t xml:space="preserve">Kein Verguss-Bauteil im Produkt zu erwarten. Wirtschaftsförderung; nur Netzwerk.</t>
  </si>
  <si>
    <t xml:space="preserve">Rheinmetall Aviation Services GmbH</t>
  </si>
  <si>
    <t xml:space="preserve">R2000</t>
  </si>
  <si>
    <t xml:space="preserve">Bereits im CRM (Rheinmetall). Bei bekannten Firmen entfällt die Neuakquise; nur Lead-Ergänzung. Nur Konzernmutter im CRM, Zuständigkeit vor Kontakt klären.</t>
  </si>
  <si>
    <t xml:space="preserve">ROTH INDUSTRIES GmbH &amp; Co. KG</t>
  </si>
  <si>
    <t xml:space="preserve">M2190</t>
  </si>
  <si>
    <t xml:space="preserve">Dautphetal-Buchenau</t>
  </si>
  <si>
    <t xml:space="preserve">Heizung, Tanks, Kunststoff; kein typisches Verguss-Bauteil.</t>
  </si>
  <si>
    <t xml:space="preserve">Sander Elektrische Anlagen GmbH</t>
  </si>
  <si>
    <t xml:space="preserve">M1000</t>
  </si>
  <si>
    <t xml:space="preserve">Firma ist nicht identifizierbar, keine belastbaren Angaben zu Produkt oder Fertigung.</t>
  </si>
  <si>
    <t xml:space="preserve">SGS Holding Deutschland B.V. &amp; Co. KG</t>
  </si>
  <si>
    <t xml:space="preserve">P2200</t>
  </si>
  <si>
    <t xml:space="preserve">Kein Verguss-Bauteil im Produkt zu erwarten. Prüfdienstleister</t>
  </si>
  <si>
    <t xml:space="preserve">Tech Lab Co., Ltd</t>
  </si>
  <si>
    <t xml:space="preserve">M4100</t>
  </si>
  <si>
    <t xml:space="preserve">Kein Verguss-Bauteil im Produkt zu erwarten. Suche: kein Treffer zur Firma (nur Messe-Verzeichnisse). Nicht identifizierbar. Nachrecherche nötig. Nicht verwechseln mit TechnoLab GmbH (Berlin).</t>
  </si>
  <si>
    <t xml:space="preserve">TechnoLab GmbH</t>
  </si>
  <si>
    <t xml:space="preserve">R1300</t>
  </si>
  <si>
    <t xml:space="preserve">Kein Verguss-Bauteil im Produkt zu erwarten. Prüflabor (NMi-Übernahme 2026); möglicher Testpartner</t>
  </si>
  <si>
    <t xml:space="preserve">TH Augsburg</t>
  </si>
  <si>
    <t xml:space="preserve">N5200</t>
  </si>
  <si>
    <t xml:space="preserve">Kein Verguss-Bauteil im Produkt zu erwarten. Hochschule</t>
  </si>
  <si>
    <t xml:space="preserve">ThermHex Waben GmbH</t>
  </si>
  <si>
    <t xml:space="preserve">Halle</t>
  </si>
  <si>
    <t xml:space="preserve">Kein Verguss-Bauteil im Produkt zu erwarten. PP-Wabenkerne, kein Verguss belegt</t>
  </si>
  <si>
    <t xml:space="preserve">THERMWOOD Corporation</t>
  </si>
  <si>
    <t xml:space="preserve">M5200</t>
  </si>
  <si>
    <t xml:space="preserve">Dale, Indiana, USA</t>
  </si>
  <si>
    <t xml:space="preserve">Kein Verguss-Bauteil im Produkt zu erwarten. CNC/3D-Druck-Maschinenbau</t>
  </si>
  <si>
    <t xml:space="preserve">THWS IDIS</t>
  </si>
  <si>
    <t xml:space="preserve">Würzburg-Schweinfurt</t>
  </si>
  <si>
    <t xml:space="preserve">Kein Verguss-Bauteil im Produkt zu erwarten. Hochschulinstitut</t>
  </si>
  <si>
    <t xml:space="preserve">TUM</t>
  </si>
  <si>
    <t xml:space="preserve">N2300</t>
  </si>
  <si>
    <t xml:space="preserve">Kein Verguss-Bauteil im Produkt zu erwarten. Universität</t>
  </si>
  <si>
    <t xml:space="preserve">Ukraine Pavilion</t>
  </si>
  <si>
    <t xml:space="preserve">Ukraine, Gemeinschaftsstand</t>
  </si>
  <si>
    <t xml:space="preserve">Kein Verguss-Bauteil im Produkt zu erwarten. Keine Firma.</t>
  </si>
  <si>
    <t xml:space="preserve">UMS CONSULTING GMBH &amp; CO. KG</t>
  </si>
  <si>
    <t xml:space="preserve">N3500</t>
  </si>
  <si>
    <t xml:space="preserve">Kein Verguss-Bauteil im Produkt zu erwarten. Nicht belegbar.</t>
  </si>
  <si>
    <t xml:space="preserve">VFS / H2 Advisors</t>
  </si>
  <si>
    <t xml:space="preserve">USA</t>
  </si>
  <si>
    <t xml:space="preserve">Kein Verguss-Bauteil im Produkt zu erwarten. Verband/Beratung, außerhalb.</t>
  </si>
  <si>
    <t xml:space="preserve">Wimedes GmbH</t>
  </si>
  <si>
    <t xml:space="preserve">N3550</t>
  </si>
  <si>
    <t xml:space="preserve">Gingen</t>
  </si>
  <si>
    <t xml:space="preserve">Keine Treffer, nicht verifizierbar.</t>
  </si>
  <si>
    <t xml:space="preserve">Wirtschaftsförderung Stadt Augsburg</t>
  </si>
  <si>
    <t xml:space="preserve">Kein Verguss-Bauteil im Produkt zu erwarten. Kommunale Förderung.</t>
  </si>
  <si>
    <t xml:space="preserve">Zeisberg Carbon GmbH</t>
  </si>
  <si>
    <t xml:space="preserve">R3000</t>
  </si>
  <si>
    <t xml:space="preserve">Voltmerstr. 65, Hannover, Niedersachsen</t>
  </si>
  <si>
    <t xml:space="preserve">Kein Verguss-Bauteil im Produkt zu erwarten. Faserverbund, kein Elektronik-Verguss. Recherche Vermutung bestätigt, Sitz ergänzt.</t>
  </si>
  <si>
    <t xml:space="preserve">Zuri.com SE</t>
  </si>
  <si>
    <t xml:space="preserve">N2000</t>
  </si>
  <si>
    <t xml:space="preserve">nicht auffindbar</t>
  </si>
  <si>
    <t xml:space="preserve">Kein Verguss-Bauteil im Produkt zu erwarten. Suche ohne Treffer zur Firma. Nicht belegbar; keine Aussage verwenden.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</si>
</sst>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9C000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7F9FC"/>
      </patternFill>
    </fill>
    <fill>
      <patternFill patternType="solid">
        <fgColor rgb="FFF4B6B6"/>
        <bgColor rgb="FFFF99CC"/>
      </patternFill>
    </fill>
    <fill>
      <patternFill patternType="solid">
        <fgColor rgb="FFF7F9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60"/>
    <col collapsed="false" customWidth="true" hidden="false" outlineLevel="0" max="6" min="6" style="0" width="3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30" hidden="false" customHeight="true" outlineLevel="0" collapsed="false">
      <c r="B5" s="4" t="s">
        <v>6</v>
      </c>
      <c r="C5" s="5" t="n">
        <f aca="false">COUNTIF(Ergebnisliste!$E$5:$E$112,B5)</f>
        <v>0</v>
      </c>
      <c r="D5" s="6" t="n">
        <f aca="false">C5/$C$8</f>
        <v>0</v>
      </c>
      <c r="E5" s="7" t="s">
        <v>7</v>
      </c>
    </row>
    <row r="6" customFormat="false" ht="30" hidden="false" customHeight="true" outlineLevel="0" collapsed="false">
      <c r="B6" s="8" t="s">
        <v>8</v>
      </c>
      <c r="C6" s="5" t="n">
        <f aca="false">COUNTIF(Ergebnisliste!$E$5:$E$112,B6)</f>
        <v>8</v>
      </c>
      <c r="D6" s="6" t="n">
        <f aca="false">C6/$C$8</f>
        <v>0.0740740740740741</v>
      </c>
      <c r="E6" s="7" t="s">
        <v>9</v>
      </c>
    </row>
    <row r="7" customFormat="false" ht="30" hidden="false" customHeight="true" outlineLevel="0" collapsed="false">
      <c r="B7" s="9" t="s">
        <v>10</v>
      </c>
      <c r="C7" s="5" t="n">
        <f aca="false">COUNTIF(Ergebnisliste!$E$5:$E$112,B7)</f>
        <v>100</v>
      </c>
      <c r="D7" s="6" t="n">
        <f aca="false">C7/$C$8</f>
        <v>0.925925925925926</v>
      </c>
      <c r="E7" s="7" t="s">
        <v>11</v>
      </c>
    </row>
    <row r="8" customFormat="false" ht="15" hidden="false" customHeight="false" outlineLevel="0" collapsed="false">
      <c r="B8" s="10" t="s">
        <v>12</v>
      </c>
      <c r="C8" s="11" t="n">
        <f aca="false">SUM(C5:C7)</f>
        <v>108</v>
      </c>
      <c r="D8" s="12" t="n">
        <f aca="false">SUM(D5:D7)</f>
        <v>1</v>
      </c>
    </row>
    <row r="10" customFormat="false" ht="15" hidden="false" customHeight="false" outlineLevel="0" collapsed="false">
      <c r="B10" s="3" t="s">
        <v>13</v>
      </c>
      <c r="C10" s="13" t="s">
        <v>14</v>
      </c>
      <c r="D10" s="13" t="s">
        <v>15</v>
      </c>
      <c r="E10" s="3" t="s">
        <v>16</v>
      </c>
    </row>
    <row r="11" customFormat="false" ht="31.5" hidden="false" customHeight="true" outlineLevel="0" collapsed="false">
      <c r="B11" s="14" t="s">
        <v>17</v>
      </c>
      <c r="C11" s="5" t="s">
        <v>18</v>
      </c>
      <c r="D11" s="5" t="s">
        <v>19</v>
      </c>
      <c r="E11" s="7" t="s">
        <v>20</v>
      </c>
    </row>
    <row r="12" customFormat="false" ht="31.5" hidden="false" customHeight="true" outlineLevel="0" collapsed="false">
      <c r="B12" s="14" t="s">
        <v>21</v>
      </c>
      <c r="C12" s="5" t="s">
        <v>22</v>
      </c>
      <c r="D12" s="5" t="s">
        <v>23</v>
      </c>
      <c r="E12" s="7" t="s">
        <v>24</v>
      </c>
    </row>
    <row r="13" customFormat="false" ht="31.5" hidden="false" customHeight="true" outlineLevel="0" collapsed="false">
      <c r="B13" s="14" t="s">
        <v>25</v>
      </c>
      <c r="C13" s="5" t="s">
        <v>22</v>
      </c>
      <c r="D13" s="5" t="s">
        <v>26</v>
      </c>
      <c r="E13" s="7" t="s">
        <v>27</v>
      </c>
    </row>
    <row r="14" customFormat="false" ht="31.5" hidden="false" customHeight="true" outlineLevel="0" collapsed="false">
      <c r="B14" s="14" t="s">
        <v>28</v>
      </c>
      <c r="C14" s="5" t="s">
        <v>22</v>
      </c>
      <c r="D14" s="5" t="s">
        <v>29</v>
      </c>
      <c r="E14" s="7" t="s">
        <v>30</v>
      </c>
    </row>
    <row r="15" customFormat="false" ht="31.5" hidden="false" customHeight="true" outlineLevel="0" collapsed="false">
      <c r="B15" s="14" t="s">
        <v>31</v>
      </c>
      <c r="C15" s="5" t="s">
        <v>32</v>
      </c>
      <c r="D15" s="5" t="s">
        <v>33</v>
      </c>
      <c r="E15" s="7" t="s">
        <v>34</v>
      </c>
    </row>
    <row r="16" customFormat="false" ht="31.5" hidden="false" customHeight="true" outlineLevel="0" collapsed="false">
      <c r="B16" s="14" t="s">
        <v>35</v>
      </c>
      <c r="C16" s="5" t="s">
        <v>32</v>
      </c>
      <c r="D16" s="5" t="s">
        <v>36</v>
      </c>
      <c r="E16" s="7" t="s">
        <v>37</v>
      </c>
    </row>
    <row r="17" customFormat="false" ht="31.5" hidden="false" customHeight="true" outlineLevel="0" collapsed="false">
      <c r="B17" s="14" t="s">
        <v>38</v>
      </c>
      <c r="C17" s="5" t="s">
        <v>32</v>
      </c>
      <c r="D17" s="5" t="s">
        <v>39</v>
      </c>
      <c r="E17" s="7" t="s">
        <v>40</v>
      </c>
    </row>
    <row r="18" customFormat="false" ht="31.5" hidden="false" customHeight="true" outlineLevel="0" collapsed="false">
      <c r="B18" s="14" t="s">
        <v>41</v>
      </c>
      <c r="C18" s="5" t="s">
        <v>32</v>
      </c>
      <c r="D18" s="5" t="s">
        <v>42</v>
      </c>
      <c r="E18" s="7" t="s">
        <v>43</v>
      </c>
    </row>
    <row r="20" customFormat="false" ht="15" hidden="false" customHeight="false" outlineLevel="0" collapsed="false">
      <c r="B20" s="3" t="s">
        <v>44</v>
      </c>
      <c r="C20" s="3"/>
      <c r="D20" s="3"/>
      <c r="E20" s="3"/>
    </row>
    <row r="21" customFormat="false" ht="43.5" hidden="false" customHeight="true" outlineLevel="0" collapsed="false">
      <c r="B21" s="15" t="s">
        <v>45</v>
      </c>
      <c r="C21" s="15"/>
      <c r="D21" s="15"/>
      <c r="E21" s="15"/>
    </row>
    <row r="22" customFormat="false" ht="43.5" hidden="false" customHeight="true" outlineLevel="0" collapsed="false">
      <c r="B22" s="15" t="s">
        <v>46</v>
      </c>
      <c r="C22" s="15"/>
      <c r="D22" s="15"/>
      <c r="E22" s="15"/>
    </row>
    <row r="23" customFormat="false" ht="43.5" hidden="false" customHeight="true" outlineLevel="0" collapsed="false">
      <c r="B23" s="15" t="s">
        <v>47</v>
      </c>
      <c r="C23" s="15"/>
      <c r="D23" s="15"/>
      <c r="E23" s="15"/>
    </row>
    <row r="24" customFormat="false" ht="43.5" hidden="false" customHeight="true" outlineLevel="0" collapsed="false">
      <c r="B24" s="15" t="s">
        <v>48</v>
      </c>
      <c r="C24" s="15"/>
      <c r="D24" s="15"/>
      <c r="E24" s="15"/>
    </row>
  </sheetData>
  <mergeCells count="4">
    <mergeCell ref="B21:E21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72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16" t="s">
        <v>49</v>
      </c>
    </row>
    <row r="2" customFormat="false" ht="15" hidden="false" customHeight="false" outlineLevel="0" collapsed="false">
      <c r="A2" s="2" t="s">
        <v>50</v>
      </c>
    </row>
    <row r="4" customFormat="false" ht="30" hidden="false" customHeight="true" outlineLevel="0" collapsed="false">
      <c r="A4" s="17" t="s">
        <v>51</v>
      </c>
      <c r="B4" s="17" t="s">
        <v>52</v>
      </c>
      <c r="C4" s="17" t="s">
        <v>53</v>
      </c>
      <c r="D4" s="17" t="s">
        <v>54</v>
      </c>
      <c r="E4" s="17" t="s">
        <v>2</v>
      </c>
      <c r="F4" s="17" t="s">
        <v>14</v>
      </c>
      <c r="G4" s="17" t="s">
        <v>55</v>
      </c>
      <c r="H4" s="17" t="s">
        <v>56</v>
      </c>
      <c r="I4" s="17" t="s">
        <v>16</v>
      </c>
    </row>
    <row r="5" customFormat="false" ht="40.5" hidden="false" customHeight="true" outlineLevel="0" collapsed="false">
      <c r="A5" s="18" t="n">
        <v>1</v>
      </c>
      <c r="B5" s="19" t="s">
        <v>31</v>
      </c>
      <c r="C5" s="18" t="s">
        <v>57</v>
      </c>
      <c r="D5" s="20" t="s">
        <v>58</v>
      </c>
      <c r="E5" s="21" t="s">
        <v>8</v>
      </c>
      <c r="F5" s="18" t="s">
        <v>32</v>
      </c>
      <c r="G5" s="20" t="s">
        <v>59</v>
      </c>
      <c r="H5" s="20" t="s">
        <v>60</v>
      </c>
      <c r="I5" s="20" t="s">
        <v>34</v>
      </c>
    </row>
    <row r="6" customFormat="false" ht="27.75" hidden="false" customHeight="true" outlineLevel="0" collapsed="false">
      <c r="A6" s="22" t="n">
        <v>4</v>
      </c>
      <c r="B6" s="23" t="s">
        <v>35</v>
      </c>
      <c r="C6" s="22" t="s">
        <v>61</v>
      </c>
      <c r="D6" s="24" t="s">
        <v>62</v>
      </c>
      <c r="E6" s="21" t="s">
        <v>8</v>
      </c>
      <c r="F6" s="22" t="s">
        <v>32</v>
      </c>
      <c r="G6" s="24" t="s">
        <v>63</v>
      </c>
      <c r="H6" s="24" t="s">
        <v>64</v>
      </c>
      <c r="I6" s="24" t="s">
        <v>37</v>
      </c>
    </row>
    <row r="7" customFormat="false" ht="40.5" hidden="false" customHeight="true" outlineLevel="0" collapsed="false">
      <c r="A7" s="18" t="n">
        <v>8</v>
      </c>
      <c r="B7" s="19" t="s">
        <v>21</v>
      </c>
      <c r="C7" s="18" t="s">
        <v>65</v>
      </c>
      <c r="D7" s="20" t="s">
        <v>66</v>
      </c>
      <c r="E7" s="21" t="s">
        <v>8</v>
      </c>
      <c r="F7" s="18" t="s">
        <v>22</v>
      </c>
      <c r="G7" s="20" t="s">
        <v>67</v>
      </c>
      <c r="H7" s="20" t="s">
        <v>68</v>
      </c>
      <c r="I7" s="20" t="s">
        <v>24</v>
      </c>
    </row>
    <row r="8" customFormat="false" ht="40.5" hidden="false" customHeight="true" outlineLevel="0" collapsed="false">
      <c r="A8" s="22" t="n">
        <v>12</v>
      </c>
      <c r="B8" s="23" t="s">
        <v>17</v>
      </c>
      <c r="C8" s="22" t="s">
        <v>69</v>
      </c>
      <c r="D8" s="24" t="s">
        <v>62</v>
      </c>
      <c r="E8" s="21" t="s">
        <v>8</v>
      </c>
      <c r="F8" s="22" t="s">
        <v>18</v>
      </c>
      <c r="G8" s="24" t="s">
        <v>70</v>
      </c>
      <c r="H8" s="24" t="s">
        <v>71</v>
      </c>
      <c r="I8" s="24" t="s">
        <v>20</v>
      </c>
    </row>
    <row r="9" customFormat="false" ht="27.75" hidden="false" customHeight="true" outlineLevel="0" collapsed="false">
      <c r="A9" s="18" t="n">
        <v>15</v>
      </c>
      <c r="B9" s="19" t="s">
        <v>38</v>
      </c>
      <c r="C9" s="18" t="s">
        <v>72</v>
      </c>
      <c r="D9" s="20" t="s">
        <v>62</v>
      </c>
      <c r="E9" s="21" t="s">
        <v>8</v>
      </c>
      <c r="F9" s="18" t="s">
        <v>32</v>
      </c>
      <c r="G9" s="20" t="s">
        <v>73</v>
      </c>
      <c r="H9" s="20" t="s">
        <v>74</v>
      </c>
      <c r="I9" s="20" t="s">
        <v>40</v>
      </c>
    </row>
    <row r="10" customFormat="false" ht="40.5" hidden="false" customHeight="true" outlineLevel="0" collapsed="false">
      <c r="A10" s="22" t="n">
        <v>18</v>
      </c>
      <c r="B10" s="23" t="s">
        <v>25</v>
      </c>
      <c r="C10" s="22" t="s">
        <v>75</v>
      </c>
      <c r="D10" s="24" t="s">
        <v>58</v>
      </c>
      <c r="E10" s="21" t="s">
        <v>8</v>
      </c>
      <c r="F10" s="22" t="s">
        <v>22</v>
      </c>
      <c r="G10" s="24" t="s">
        <v>76</v>
      </c>
      <c r="H10" s="24" t="s">
        <v>77</v>
      </c>
      <c r="I10" s="24" t="s">
        <v>27</v>
      </c>
    </row>
    <row r="11" customFormat="false" ht="52.5" hidden="false" customHeight="true" outlineLevel="0" collapsed="false">
      <c r="A11" s="18" t="n">
        <v>21</v>
      </c>
      <c r="B11" s="19" t="s">
        <v>28</v>
      </c>
      <c r="C11" s="18" t="s">
        <v>78</v>
      </c>
      <c r="D11" s="20" t="s">
        <v>62</v>
      </c>
      <c r="E11" s="21" t="s">
        <v>8</v>
      </c>
      <c r="F11" s="18" t="s">
        <v>22</v>
      </c>
      <c r="G11" s="20" t="s">
        <v>79</v>
      </c>
      <c r="H11" s="20" t="s">
        <v>80</v>
      </c>
      <c r="I11" s="20" t="s">
        <v>30</v>
      </c>
    </row>
    <row r="12" customFormat="false" ht="27.75" hidden="false" customHeight="true" outlineLevel="0" collapsed="false">
      <c r="A12" s="22" t="n">
        <v>42</v>
      </c>
      <c r="B12" s="23" t="s">
        <v>41</v>
      </c>
      <c r="C12" s="22" t="s">
        <v>81</v>
      </c>
      <c r="D12" s="24" t="s">
        <v>62</v>
      </c>
      <c r="E12" s="21" t="s">
        <v>8</v>
      </c>
      <c r="F12" s="22" t="s">
        <v>32</v>
      </c>
      <c r="G12" s="24" t="s">
        <v>82</v>
      </c>
      <c r="H12" s="24" t="s">
        <v>83</v>
      </c>
      <c r="I12" s="24" t="s">
        <v>43</v>
      </c>
    </row>
    <row r="13" customFormat="false" ht="27.75" hidden="false" customHeight="true" outlineLevel="0" collapsed="false">
      <c r="A13" s="18" t="n">
        <v>2</v>
      </c>
      <c r="B13" s="19" t="s">
        <v>84</v>
      </c>
      <c r="C13" s="18" t="s">
        <v>85</v>
      </c>
      <c r="D13" s="20" t="s">
        <v>66</v>
      </c>
      <c r="E13" s="25" t="s">
        <v>10</v>
      </c>
      <c r="F13" s="18" t="s">
        <v>86</v>
      </c>
      <c r="G13" s="20" t="s">
        <v>87</v>
      </c>
      <c r="H13" s="20" t="s">
        <v>88</v>
      </c>
      <c r="I13" s="20"/>
    </row>
    <row r="14" customFormat="false" ht="27.75" hidden="false" customHeight="true" outlineLevel="0" collapsed="false">
      <c r="A14" s="22" t="n">
        <v>3</v>
      </c>
      <c r="B14" s="23" t="s">
        <v>89</v>
      </c>
      <c r="C14" s="22" t="s">
        <v>90</v>
      </c>
      <c r="D14" s="24" t="s">
        <v>66</v>
      </c>
      <c r="E14" s="25" t="s">
        <v>10</v>
      </c>
      <c r="F14" s="22" t="s">
        <v>86</v>
      </c>
      <c r="G14" s="24" t="s">
        <v>91</v>
      </c>
      <c r="H14" s="24" t="s">
        <v>92</v>
      </c>
      <c r="I14" s="24"/>
    </row>
    <row r="15" customFormat="false" ht="27.75" hidden="false" customHeight="true" outlineLevel="0" collapsed="false">
      <c r="A15" s="18" t="n">
        <v>5</v>
      </c>
      <c r="B15" s="19" t="s">
        <v>93</v>
      </c>
      <c r="C15" s="18" t="s">
        <v>94</v>
      </c>
      <c r="D15" s="20" t="s">
        <v>62</v>
      </c>
      <c r="E15" s="25" t="s">
        <v>10</v>
      </c>
      <c r="F15" s="18" t="s">
        <v>86</v>
      </c>
      <c r="G15" s="20" t="s">
        <v>95</v>
      </c>
      <c r="H15" s="20" t="s">
        <v>96</v>
      </c>
      <c r="I15" s="20"/>
    </row>
    <row r="16" customFormat="false" ht="27.75" hidden="false" customHeight="true" outlineLevel="0" collapsed="false">
      <c r="A16" s="22" t="n">
        <v>6</v>
      </c>
      <c r="B16" s="23" t="s">
        <v>97</v>
      </c>
      <c r="C16" s="22" t="s">
        <v>98</v>
      </c>
      <c r="D16" s="24" t="s">
        <v>66</v>
      </c>
      <c r="E16" s="25" t="s">
        <v>10</v>
      </c>
      <c r="F16" s="22" t="s">
        <v>99</v>
      </c>
      <c r="G16" s="24" t="s">
        <v>100</v>
      </c>
      <c r="H16" s="24" t="s">
        <v>101</v>
      </c>
      <c r="I16" s="24"/>
    </row>
    <row r="17" customFormat="false" ht="27.75" hidden="false" customHeight="true" outlineLevel="0" collapsed="false">
      <c r="A17" s="18" t="n">
        <v>7</v>
      </c>
      <c r="B17" s="19" t="s">
        <v>102</v>
      </c>
      <c r="C17" s="18" t="s">
        <v>103</v>
      </c>
      <c r="D17" s="20" t="s">
        <v>66</v>
      </c>
      <c r="E17" s="25" t="s">
        <v>10</v>
      </c>
      <c r="F17" s="18" t="s">
        <v>86</v>
      </c>
      <c r="G17" s="20" t="s">
        <v>91</v>
      </c>
      <c r="H17" s="20" t="s">
        <v>104</v>
      </c>
      <c r="I17" s="20"/>
    </row>
    <row r="18" customFormat="false" ht="27.75" hidden="false" customHeight="true" outlineLevel="0" collapsed="false">
      <c r="A18" s="22" t="n">
        <v>9</v>
      </c>
      <c r="B18" s="23" t="s">
        <v>105</v>
      </c>
      <c r="C18" s="22" t="s">
        <v>106</v>
      </c>
      <c r="D18" s="24" t="s">
        <v>62</v>
      </c>
      <c r="E18" s="25" t="s">
        <v>10</v>
      </c>
      <c r="F18" s="22" t="s">
        <v>86</v>
      </c>
      <c r="G18" s="24" t="s">
        <v>107</v>
      </c>
      <c r="H18" s="24" t="s">
        <v>108</v>
      </c>
      <c r="I18" s="24"/>
    </row>
    <row r="19" customFormat="false" ht="27.75" hidden="false" customHeight="true" outlineLevel="0" collapsed="false">
      <c r="A19" s="18" t="n">
        <v>10</v>
      </c>
      <c r="B19" s="19" t="s">
        <v>109</v>
      </c>
      <c r="C19" s="18" t="s">
        <v>110</v>
      </c>
      <c r="D19" s="20" t="s">
        <v>62</v>
      </c>
      <c r="E19" s="25" t="s">
        <v>10</v>
      </c>
      <c r="F19" s="18" t="s">
        <v>99</v>
      </c>
      <c r="G19" s="20" t="s">
        <v>111</v>
      </c>
      <c r="H19" s="20" t="s">
        <v>112</v>
      </c>
      <c r="I19" s="20"/>
    </row>
    <row r="20" customFormat="false" ht="27.75" hidden="false" customHeight="true" outlineLevel="0" collapsed="false">
      <c r="A20" s="22" t="n">
        <v>11</v>
      </c>
      <c r="B20" s="23" t="s">
        <v>113</v>
      </c>
      <c r="C20" s="22" t="s">
        <v>114</v>
      </c>
      <c r="D20" s="24" t="s">
        <v>62</v>
      </c>
      <c r="E20" s="25" t="s">
        <v>10</v>
      </c>
      <c r="F20" s="22" t="s">
        <v>99</v>
      </c>
      <c r="G20" s="24" t="s">
        <v>115</v>
      </c>
      <c r="H20" s="24" t="s">
        <v>116</v>
      </c>
      <c r="I20" s="24"/>
    </row>
    <row r="21" customFormat="false" ht="27.75" hidden="false" customHeight="true" outlineLevel="0" collapsed="false">
      <c r="A21" s="18" t="n">
        <v>13</v>
      </c>
      <c r="B21" s="19" t="s">
        <v>117</v>
      </c>
      <c r="C21" s="18" t="s">
        <v>118</v>
      </c>
      <c r="D21" s="20" t="s">
        <v>62</v>
      </c>
      <c r="E21" s="25" t="s">
        <v>10</v>
      </c>
      <c r="F21" s="18" t="s">
        <v>119</v>
      </c>
      <c r="G21" s="20" t="s">
        <v>120</v>
      </c>
      <c r="H21" s="20" t="s">
        <v>121</v>
      </c>
      <c r="I21" s="20"/>
    </row>
    <row r="22" customFormat="false" ht="27.75" hidden="false" customHeight="true" outlineLevel="0" collapsed="false">
      <c r="A22" s="22" t="n">
        <v>14</v>
      </c>
      <c r="B22" s="23" t="s">
        <v>122</v>
      </c>
      <c r="C22" s="22" t="s">
        <v>123</v>
      </c>
      <c r="D22" s="24" t="s">
        <v>62</v>
      </c>
      <c r="E22" s="25" t="s">
        <v>10</v>
      </c>
      <c r="F22" s="22" t="s">
        <v>86</v>
      </c>
      <c r="G22" s="24" t="s">
        <v>124</v>
      </c>
      <c r="H22" s="24" t="s">
        <v>125</v>
      </c>
      <c r="I22" s="24"/>
    </row>
    <row r="23" customFormat="false" ht="27.75" hidden="false" customHeight="true" outlineLevel="0" collapsed="false">
      <c r="A23" s="18" t="n">
        <v>16</v>
      </c>
      <c r="B23" s="19" t="s">
        <v>126</v>
      </c>
      <c r="C23" s="18" t="s">
        <v>127</v>
      </c>
      <c r="D23" s="20" t="s">
        <v>62</v>
      </c>
      <c r="E23" s="25" t="s">
        <v>10</v>
      </c>
      <c r="F23" s="18" t="s">
        <v>128</v>
      </c>
      <c r="G23" s="20" t="s">
        <v>129</v>
      </c>
      <c r="H23" s="20" t="s">
        <v>130</v>
      </c>
      <c r="I23" s="20"/>
    </row>
    <row r="24" customFormat="false" ht="27.75" hidden="false" customHeight="true" outlineLevel="0" collapsed="false">
      <c r="A24" s="22" t="n">
        <v>17</v>
      </c>
      <c r="B24" s="23" t="s">
        <v>131</v>
      </c>
      <c r="C24" s="22" t="s">
        <v>132</v>
      </c>
      <c r="D24" s="24" t="s">
        <v>62</v>
      </c>
      <c r="E24" s="25" t="s">
        <v>10</v>
      </c>
      <c r="F24" s="22" t="s">
        <v>99</v>
      </c>
      <c r="G24" s="24" t="s">
        <v>133</v>
      </c>
      <c r="H24" s="24" t="s">
        <v>134</v>
      </c>
      <c r="I24" s="24"/>
    </row>
    <row r="25" customFormat="false" ht="27.75" hidden="false" customHeight="true" outlineLevel="0" collapsed="false">
      <c r="A25" s="18" t="n">
        <v>19</v>
      </c>
      <c r="B25" s="19" t="s">
        <v>135</v>
      </c>
      <c r="C25" s="18" t="s">
        <v>136</v>
      </c>
      <c r="D25" s="20" t="s">
        <v>62</v>
      </c>
      <c r="E25" s="25" t="s">
        <v>10</v>
      </c>
      <c r="F25" s="18" t="s">
        <v>86</v>
      </c>
      <c r="G25" s="20" t="s">
        <v>137</v>
      </c>
      <c r="H25" s="20" t="s">
        <v>138</v>
      </c>
      <c r="I25" s="20"/>
    </row>
    <row r="26" customFormat="false" ht="27.75" hidden="false" customHeight="true" outlineLevel="0" collapsed="false">
      <c r="A26" s="22" t="n">
        <v>20</v>
      </c>
      <c r="B26" s="23" t="s">
        <v>139</v>
      </c>
      <c r="C26" s="22" t="s">
        <v>140</v>
      </c>
      <c r="D26" s="24" t="s">
        <v>62</v>
      </c>
      <c r="E26" s="25" t="s">
        <v>10</v>
      </c>
      <c r="F26" s="22" t="s">
        <v>141</v>
      </c>
      <c r="G26" s="24" t="s">
        <v>142</v>
      </c>
      <c r="H26" s="24" t="s">
        <v>143</v>
      </c>
      <c r="I26" s="24"/>
    </row>
    <row r="27" customFormat="false" ht="27.75" hidden="false" customHeight="true" outlineLevel="0" collapsed="false">
      <c r="A27" s="18" t="n">
        <v>22</v>
      </c>
      <c r="B27" s="19" t="s">
        <v>144</v>
      </c>
      <c r="C27" s="18" t="s">
        <v>145</v>
      </c>
      <c r="D27" s="20" t="s">
        <v>66</v>
      </c>
      <c r="E27" s="25" t="s">
        <v>10</v>
      </c>
      <c r="F27" s="18" t="s">
        <v>86</v>
      </c>
      <c r="G27" s="20" t="s">
        <v>146</v>
      </c>
      <c r="H27" s="20" t="s">
        <v>147</v>
      </c>
      <c r="I27" s="20"/>
    </row>
    <row r="28" customFormat="false" ht="40.5" hidden="false" customHeight="true" outlineLevel="0" collapsed="false">
      <c r="A28" s="22" t="n">
        <v>23</v>
      </c>
      <c r="B28" s="23" t="s">
        <v>148</v>
      </c>
      <c r="C28" s="22" t="s">
        <v>149</v>
      </c>
      <c r="D28" s="24" t="s">
        <v>66</v>
      </c>
      <c r="E28" s="25" t="s">
        <v>10</v>
      </c>
      <c r="F28" s="22" t="s">
        <v>150</v>
      </c>
      <c r="G28" s="24" t="s">
        <v>151</v>
      </c>
      <c r="H28" s="24" t="s">
        <v>152</v>
      </c>
      <c r="I28" s="24"/>
    </row>
    <row r="29" customFormat="false" ht="27.75" hidden="false" customHeight="true" outlineLevel="0" collapsed="false">
      <c r="A29" s="18" t="n">
        <v>24</v>
      </c>
      <c r="B29" s="19" t="s">
        <v>153</v>
      </c>
      <c r="C29" s="18" t="s">
        <v>154</v>
      </c>
      <c r="D29" s="20" t="s">
        <v>62</v>
      </c>
      <c r="E29" s="25" t="s">
        <v>10</v>
      </c>
      <c r="F29" s="18" t="s">
        <v>86</v>
      </c>
      <c r="G29" s="20" t="s">
        <v>155</v>
      </c>
      <c r="H29" s="20" t="s">
        <v>156</v>
      </c>
      <c r="I29" s="20"/>
    </row>
    <row r="30" customFormat="false" ht="27.75" hidden="false" customHeight="true" outlineLevel="0" collapsed="false">
      <c r="A30" s="22" t="n">
        <v>25</v>
      </c>
      <c r="B30" s="23" t="s">
        <v>157</v>
      </c>
      <c r="C30" s="22" t="s">
        <v>158</v>
      </c>
      <c r="D30" s="24" t="s">
        <v>66</v>
      </c>
      <c r="E30" s="25" t="s">
        <v>10</v>
      </c>
      <c r="F30" s="22" t="s">
        <v>150</v>
      </c>
      <c r="G30" s="24" t="s">
        <v>159</v>
      </c>
      <c r="H30" s="24" t="s">
        <v>160</v>
      </c>
      <c r="I30" s="24"/>
    </row>
    <row r="31" customFormat="false" ht="15" hidden="false" customHeight="true" outlineLevel="0" collapsed="false">
      <c r="A31" s="18" t="n">
        <v>26</v>
      </c>
      <c r="B31" s="19" t="s">
        <v>161</v>
      </c>
      <c r="C31" s="18" t="s">
        <v>162</v>
      </c>
      <c r="D31" s="20" t="s">
        <v>62</v>
      </c>
      <c r="E31" s="25" t="s">
        <v>10</v>
      </c>
      <c r="F31" s="18" t="s">
        <v>163</v>
      </c>
      <c r="G31" s="20" t="s">
        <v>164</v>
      </c>
      <c r="H31" s="20" t="s">
        <v>165</v>
      </c>
      <c r="I31" s="20"/>
    </row>
    <row r="32" customFormat="false" ht="15" hidden="false" customHeight="true" outlineLevel="0" collapsed="false">
      <c r="A32" s="22" t="n">
        <v>27</v>
      </c>
      <c r="B32" s="23" t="s">
        <v>166</v>
      </c>
      <c r="C32" s="22" t="s">
        <v>167</v>
      </c>
      <c r="D32" s="24" t="s">
        <v>66</v>
      </c>
      <c r="E32" s="25" t="s">
        <v>10</v>
      </c>
      <c r="F32" s="22" t="s">
        <v>168</v>
      </c>
      <c r="G32" s="24" t="s">
        <v>169</v>
      </c>
      <c r="H32" s="24" t="s">
        <v>170</v>
      </c>
      <c r="I32" s="24"/>
    </row>
    <row r="33" customFormat="false" ht="27.75" hidden="false" customHeight="true" outlineLevel="0" collapsed="false">
      <c r="A33" s="18" t="n">
        <v>28</v>
      </c>
      <c r="B33" s="19" t="s">
        <v>171</v>
      </c>
      <c r="C33" s="18" t="s">
        <v>172</v>
      </c>
      <c r="D33" s="20" t="s">
        <v>66</v>
      </c>
      <c r="E33" s="25" t="s">
        <v>10</v>
      </c>
      <c r="F33" s="18" t="s">
        <v>168</v>
      </c>
      <c r="G33" s="20" t="s">
        <v>173</v>
      </c>
      <c r="H33" s="20" t="s">
        <v>174</v>
      </c>
      <c r="I33" s="20"/>
    </row>
    <row r="34" customFormat="false" ht="27.75" hidden="false" customHeight="true" outlineLevel="0" collapsed="false">
      <c r="A34" s="22" t="n">
        <v>29</v>
      </c>
      <c r="B34" s="23" t="s">
        <v>175</v>
      </c>
      <c r="C34" s="22" t="s">
        <v>176</v>
      </c>
      <c r="D34" s="24" t="s">
        <v>62</v>
      </c>
      <c r="E34" s="25" t="s">
        <v>10</v>
      </c>
      <c r="F34" s="22" t="s">
        <v>99</v>
      </c>
      <c r="G34" s="24" t="s">
        <v>151</v>
      </c>
      <c r="H34" s="24" t="s">
        <v>177</v>
      </c>
      <c r="I34" s="24"/>
    </row>
    <row r="35" customFormat="false" ht="15" hidden="false" customHeight="true" outlineLevel="0" collapsed="false">
      <c r="A35" s="18" t="n">
        <v>30</v>
      </c>
      <c r="B35" s="19" t="s">
        <v>178</v>
      </c>
      <c r="C35" s="18" t="s">
        <v>179</v>
      </c>
      <c r="D35" s="20"/>
      <c r="E35" s="25" t="s">
        <v>10</v>
      </c>
      <c r="F35" s="18" t="s">
        <v>150</v>
      </c>
      <c r="G35" s="20" t="s">
        <v>180</v>
      </c>
      <c r="H35" s="20" t="s">
        <v>181</v>
      </c>
      <c r="I35" s="20"/>
    </row>
    <row r="36" customFormat="false" ht="40.5" hidden="false" customHeight="true" outlineLevel="0" collapsed="false">
      <c r="A36" s="22" t="n">
        <v>31</v>
      </c>
      <c r="B36" s="23" t="s">
        <v>182</v>
      </c>
      <c r="C36" s="22" t="s">
        <v>183</v>
      </c>
      <c r="D36" s="24" t="s">
        <v>66</v>
      </c>
      <c r="E36" s="25" t="s">
        <v>10</v>
      </c>
      <c r="F36" s="22" t="s">
        <v>99</v>
      </c>
      <c r="G36" s="24" t="s">
        <v>151</v>
      </c>
      <c r="H36" s="24" t="s">
        <v>184</v>
      </c>
      <c r="I36" s="24"/>
    </row>
    <row r="37" customFormat="false" ht="15" hidden="false" customHeight="true" outlineLevel="0" collapsed="false">
      <c r="A37" s="18" t="n">
        <v>32</v>
      </c>
      <c r="B37" s="19" t="s">
        <v>185</v>
      </c>
      <c r="C37" s="18" t="s">
        <v>186</v>
      </c>
      <c r="D37" s="20" t="s">
        <v>66</v>
      </c>
      <c r="E37" s="25" t="s">
        <v>10</v>
      </c>
      <c r="F37" s="18" t="s">
        <v>168</v>
      </c>
      <c r="G37" s="20" t="s">
        <v>187</v>
      </c>
      <c r="H37" s="20" t="s">
        <v>188</v>
      </c>
      <c r="I37" s="20"/>
    </row>
    <row r="38" customFormat="false" ht="15" hidden="false" customHeight="true" outlineLevel="0" collapsed="false">
      <c r="A38" s="22" t="n">
        <v>33</v>
      </c>
      <c r="B38" s="23" t="s">
        <v>189</v>
      </c>
      <c r="C38" s="22" t="s">
        <v>190</v>
      </c>
      <c r="D38" s="24" t="s">
        <v>66</v>
      </c>
      <c r="E38" s="25" t="s">
        <v>10</v>
      </c>
      <c r="F38" s="22" t="s">
        <v>150</v>
      </c>
      <c r="G38" s="24" t="s">
        <v>191</v>
      </c>
      <c r="H38" s="24" t="s">
        <v>192</v>
      </c>
      <c r="I38" s="24"/>
    </row>
    <row r="39" customFormat="false" ht="27.75" hidden="false" customHeight="true" outlineLevel="0" collapsed="false">
      <c r="A39" s="18" t="n">
        <v>34</v>
      </c>
      <c r="B39" s="19" t="s">
        <v>193</v>
      </c>
      <c r="C39" s="18" t="s">
        <v>194</v>
      </c>
      <c r="D39" s="20" t="s">
        <v>66</v>
      </c>
      <c r="E39" s="25" t="s">
        <v>10</v>
      </c>
      <c r="F39" s="18" t="s">
        <v>163</v>
      </c>
      <c r="G39" s="20" t="s">
        <v>195</v>
      </c>
      <c r="H39" s="20" t="s">
        <v>196</v>
      </c>
      <c r="I39" s="20"/>
    </row>
    <row r="40" customFormat="false" ht="15" hidden="false" customHeight="true" outlineLevel="0" collapsed="false">
      <c r="A40" s="22" t="n">
        <v>35</v>
      </c>
      <c r="B40" s="23" t="s">
        <v>197</v>
      </c>
      <c r="C40" s="22" t="s">
        <v>198</v>
      </c>
      <c r="D40" s="24" t="s">
        <v>58</v>
      </c>
      <c r="E40" s="25" t="s">
        <v>10</v>
      </c>
      <c r="F40" s="22" t="s">
        <v>128</v>
      </c>
      <c r="G40" s="24" t="s">
        <v>199</v>
      </c>
      <c r="H40" s="24" t="s">
        <v>200</v>
      </c>
      <c r="I40" s="24"/>
    </row>
    <row r="41" customFormat="false" ht="27.75" hidden="false" customHeight="true" outlineLevel="0" collapsed="false">
      <c r="A41" s="18" t="n">
        <v>36</v>
      </c>
      <c r="B41" s="19" t="s">
        <v>201</v>
      </c>
      <c r="C41" s="18" t="s">
        <v>202</v>
      </c>
      <c r="D41" s="20" t="s">
        <v>66</v>
      </c>
      <c r="E41" s="25" t="s">
        <v>10</v>
      </c>
      <c r="F41" s="18" t="s">
        <v>203</v>
      </c>
      <c r="G41" s="20" t="s">
        <v>204</v>
      </c>
      <c r="H41" s="20" t="s">
        <v>205</v>
      </c>
      <c r="I41" s="20"/>
    </row>
    <row r="42" customFormat="false" ht="27.75" hidden="false" customHeight="true" outlineLevel="0" collapsed="false">
      <c r="A42" s="22" t="n">
        <v>37</v>
      </c>
      <c r="B42" s="23" t="s">
        <v>206</v>
      </c>
      <c r="C42" s="22" t="s">
        <v>207</v>
      </c>
      <c r="D42" s="24" t="s">
        <v>66</v>
      </c>
      <c r="E42" s="25" t="s">
        <v>10</v>
      </c>
      <c r="F42" s="22" t="s">
        <v>119</v>
      </c>
      <c r="G42" s="24" t="s">
        <v>208</v>
      </c>
      <c r="H42" s="24" t="s">
        <v>209</v>
      </c>
      <c r="I42" s="24"/>
    </row>
    <row r="43" customFormat="false" ht="27.75" hidden="false" customHeight="true" outlineLevel="0" collapsed="false">
      <c r="A43" s="18" t="n">
        <v>38</v>
      </c>
      <c r="B43" s="19" t="s">
        <v>210</v>
      </c>
      <c r="C43" s="18" t="s">
        <v>149</v>
      </c>
      <c r="D43" s="20" t="s">
        <v>66</v>
      </c>
      <c r="E43" s="25" t="s">
        <v>10</v>
      </c>
      <c r="F43" s="18" t="s">
        <v>150</v>
      </c>
      <c r="G43" s="20" t="s">
        <v>151</v>
      </c>
      <c r="H43" s="20" t="s">
        <v>211</v>
      </c>
      <c r="I43" s="20"/>
    </row>
    <row r="44" customFormat="false" ht="15" hidden="false" customHeight="true" outlineLevel="0" collapsed="false">
      <c r="A44" s="22" t="n">
        <v>39</v>
      </c>
      <c r="B44" s="23" t="s">
        <v>212</v>
      </c>
      <c r="C44" s="22" t="s">
        <v>213</v>
      </c>
      <c r="D44" s="24" t="s">
        <v>66</v>
      </c>
      <c r="E44" s="25" t="s">
        <v>10</v>
      </c>
      <c r="F44" s="22" t="s">
        <v>150</v>
      </c>
      <c r="G44" s="24" t="s">
        <v>214</v>
      </c>
      <c r="H44" s="24" t="s">
        <v>215</v>
      </c>
      <c r="I44" s="24"/>
    </row>
    <row r="45" customFormat="false" ht="27.75" hidden="false" customHeight="true" outlineLevel="0" collapsed="false">
      <c r="A45" s="18" t="n">
        <v>40</v>
      </c>
      <c r="B45" s="19" t="s">
        <v>216</v>
      </c>
      <c r="C45" s="18" t="s">
        <v>217</v>
      </c>
      <c r="D45" s="20" t="s">
        <v>58</v>
      </c>
      <c r="E45" s="25" t="s">
        <v>10</v>
      </c>
      <c r="F45" s="18" t="s">
        <v>99</v>
      </c>
      <c r="G45" s="20" t="s">
        <v>151</v>
      </c>
      <c r="H45" s="20" t="s">
        <v>218</v>
      </c>
      <c r="I45" s="20"/>
    </row>
    <row r="46" customFormat="false" ht="27.75" hidden="false" customHeight="true" outlineLevel="0" collapsed="false">
      <c r="A46" s="22" t="n">
        <v>41</v>
      </c>
      <c r="B46" s="23" t="s">
        <v>219</v>
      </c>
      <c r="C46" s="22" t="s">
        <v>220</v>
      </c>
      <c r="D46" s="24" t="s">
        <v>66</v>
      </c>
      <c r="E46" s="25" t="s">
        <v>10</v>
      </c>
      <c r="F46" s="22" t="s">
        <v>221</v>
      </c>
      <c r="G46" s="24" t="s">
        <v>222</v>
      </c>
      <c r="H46" s="24" t="s">
        <v>223</v>
      </c>
      <c r="I46" s="24"/>
    </row>
    <row r="47" customFormat="false" ht="15" hidden="false" customHeight="true" outlineLevel="0" collapsed="false">
      <c r="A47" s="18" t="n">
        <v>43</v>
      </c>
      <c r="B47" s="19" t="s">
        <v>224</v>
      </c>
      <c r="C47" s="18" t="s">
        <v>225</v>
      </c>
      <c r="D47" s="20" t="s">
        <v>66</v>
      </c>
      <c r="E47" s="25" t="s">
        <v>10</v>
      </c>
      <c r="F47" s="18" t="s">
        <v>150</v>
      </c>
      <c r="G47" s="20" t="s">
        <v>226</v>
      </c>
      <c r="H47" s="20" t="s">
        <v>227</v>
      </c>
      <c r="I47" s="20"/>
    </row>
    <row r="48" customFormat="false" ht="27.75" hidden="false" customHeight="true" outlineLevel="0" collapsed="false">
      <c r="A48" s="22" t="n">
        <v>44</v>
      </c>
      <c r="B48" s="23" t="s">
        <v>228</v>
      </c>
      <c r="C48" s="22" t="s">
        <v>229</v>
      </c>
      <c r="D48" s="24" t="s">
        <v>66</v>
      </c>
      <c r="E48" s="25" t="s">
        <v>10</v>
      </c>
      <c r="F48" s="22" t="s">
        <v>150</v>
      </c>
      <c r="G48" s="24" t="s">
        <v>230</v>
      </c>
      <c r="H48" s="24" t="s">
        <v>231</v>
      </c>
      <c r="I48" s="24"/>
    </row>
    <row r="49" customFormat="false" ht="27.75" hidden="false" customHeight="true" outlineLevel="0" collapsed="false">
      <c r="A49" s="18" t="n">
        <v>45</v>
      </c>
      <c r="B49" s="19" t="s">
        <v>232</v>
      </c>
      <c r="C49" s="18" t="s">
        <v>233</v>
      </c>
      <c r="D49" s="20" t="s">
        <v>66</v>
      </c>
      <c r="E49" s="25" t="s">
        <v>10</v>
      </c>
      <c r="F49" s="18" t="s">
        <v>86</v>
      </c>
      <c r="G49" s="20" t="s">
        <v>234</v>
      </c>
      <c r="H49" s="20" t="s">
        <v>235</v>
      </c>
      <c r="I49" s="20"/>
    </row>
    <row r="50" customFormat="false" ht="15" hidden="false" customHeight="true" outlineLevel="0" collapsed="false">
      <c r="A50" s="22" t="n">
        <v>46</v>
      </c>
      <c r="B50" s="23" t="s">
        <v>236</v>
      </c>
      <c r="C50" s="22" t="s">
        <v>149</v>
      </c>
      <c r="D50" s="24" t="s">
        <v>66</v>
      </c>
      <c r="E50" s="25" t="s">
        <v>10</v>
      </c>
      <c r="F50" s="22" t="s">
        <v>237</v>
      </c>
      <c r="G50" s="24" t="s">
        <v>159</v>
      </c>
      <c r="H50" s="24" t="s">
        <v>238</v>
      </c>
      <c r="I50" s="24"/>
    </row>
    <row r="51" customFormat="false" ht="27.75" hidden="false" customHeight="true" outlineLevel="0" collapsed="false">
      <c r="A51" s="18" t="n">
        <v>47</v>
      </c>
      <c r="B51" s="19" t="s">
        <v>239</v>
      </c>
      <c r="C51" s="18" t="s">
        <v>240</v>
      </c>
      <c r="D51" s="20" t="s">
        <v>62</v>
      </c>
      <c r="E51" s="25" t="s">
        <v>10</v>
      </c>
      <c r="F51" s="18" t="s">
        <v>221</v>
      </c>
      <c r="G51" s="20" t="s">
        <v>241</v>
      </c>
      <c r="H51" s="20" t="s">
        <v>242</v>
      </c>
      <c r="I51" s="20"/>
    </row>
    <row r="52" customFormat="false" ht="27.75" hidden="false" customHeight="true" outlineLevel="0" collapsed="false">
      <c r="A52" s="22" t="n">
        <v>48</v>
      </c>
      <c r="B52" s="23" t="s">
        <v>243</v>
      </c>
      <c r="C52" s="22" t="s">
        <v>244</v>
      </c>
      <c r="D52" s="24" t="s">
        <v>66</v>
      </c>
      <c r="E52" s="25" t="s">
        <v>10</v>
      </c>
      <c r="F52" s="22" t="s">
        <v>99</v>
      </c>
      <c r="G52" s="24" t="s">
        <v>245</v>
      </c>
      <c r="H52" s="24" t="s">
        <v>246</v>
      </c>
      <c r="I52" s="24"/>
    </row>
    <row r="53" customFormat="false" ht="15" hidden="false" customHeight="true" outlineLevel="0" collapsed="false">
      <c r="A53" s="18" t="n">
        <v>49</v>
      </c>
      <c r="B53" s="19" t="s">
        <v>247</v>
      </c>
      <c r="C53" s="18" t="s">
        <v>248</v>
      </c>
      <c r="D53" s="20" t="s">
        <v>66</v>
      </c>
      <c r="E53" s="25" t="s">
        <v>10</v>
      </c>
      <c r="F53" s="18" t="s">
        <v>249</v>
      </c>
      <c r="G53" s="20" t="s">
        <v>250</v>
      </c>
      <c r="H53" s="20" t="s">
        <v>251</v>
      </c>
      <c r="I53" s="20"/>
    </row>
    <row r="54" customFormat="false" ht="27.75" hidden="false" customHeight="true" outlineLevel="0" collapsed="false">
      <c r="A54" s="22" t="n">
        <v>50</v>
      </c>
      <c r="B54" s="23" t="s">
        <v>252</v>
      </c>
      <c r="C54" s="22" t="s">
        <v>253</v>
      </c>
      <c r="D54" s="24" t="s">
        <v>66</v>
      </c>
      <c r="E54" s="25" t="s">
        <v>10</v>
      </c>
      <c r="F54" s="22" t="s">
        <v>163</v>
      </c>
      <c r="G54" s="24" t="s">
        <v>254</v>
      </c>
      <c r="H54" s="24" t="s">
        <v>255</v>
      </c>
      <c r="I54" s="24"/>
    </row>
    <row r="55" customFormat="false" ht="27.75" hidden="false" customHeight="true" outlineLevel="0" collapsed="false">
      <c r="A55" s="18" t="n">
        <v>51</v>
      </c>
      <c r="B55" s="19" t="s">
        <v>256</v>
      </c>
      <c r="C55" s="18" t="s">
        <v>257</v>
      </c>
      <c r="D55" s="20" t="s">
        <v>66</v>
      </c>
      <c r="E55" s="25" t="s">
        <v>10</v>
      </c>
      <c r="F55" s="18" t="s">
        <v>99</v>
      </c>
      <c r="G55" s="20" t="s">
        <v>151</v>
      </c>
      <c r="H55" s="20" t="s">
        <v>258</v>
      </c>
      <c r="I55" s="20"/>
    </row>
    <row r="56" customFormat="false" ht="15" hidden="false" customHeight="true" outlineLevel="0" collapsed="false">
      <c r="A56" s="22" t="n">
        <v>52</v>
      </c>
      <c r="B56" s="23" t="s">
        <v>259</v>
      </c>
      <c r="C56" s="22" t="s">
        <v>260</v>
      </c>
      <c r="D56" s="24" t="s">
        <v>66</v>
      </c>
      <c r="E56" s="25" t="s">
        <v>10</v>
      </c>
      <c r="F56" s="22" t="s">
        <v>163</v>
      </c>
      <c r="G56" s="24" t="s">
        <v>261</v>
      </c>
      <c r="H56" s="24" t="s">
        <v>262</v>
      </c>
      <c r="I56" s="24"/>
    </row>
    <row r="57" customFormat="false" ht="27.75" hidden="false" customHeight="true" outlineLevel="0" collapsed="false">
      <c r="A57" s="18" t="n">
        <v>53</v>
      </c>
      <c r="B57" s="19" t="s">
        <v>263</v>
      </c>
      <c r="C57" s="18" t="s">
        <v>264</v>
      </c>
      <c r="D57" s="20" t="s">
        <v>66</v>
      </c>
      <c r="E57" s="25" t="s">
        <v>10</v>
      </c>
      <c r="F57" s="18" t="s">
        <v>141</v>
      </c>
      <c r="G57" s="20" t="s">
        <v>265</v>
      </c>
      <c r="H57" s="20" t="s">
        <v>266</v>
      </c>
      <c r="I57" s="20"/>
    </row>
    <row r="58" customFormat="false" ht="27.75" hidden="false" customHeight="true" outlineLevel="0" collapsed="false">
      <c r="A58" s="22" t="n">
        <v>54</v>
      </c>
      <c r="B58" s="23" t="s">
        <v>267</v>
      </c>
      <c r="C58" s="22" t="s">
        <v>268</v>
      </c>
      <c r="D58" s="24" t="s">
        <v>62</v>
      </c>
      <c r="E58" s="25" t="s">
        <v>10</v>
      </c>
      <c r="F58" s="22" t="s">
        <v>86</v>
      </c>
      <c r="G58" s="24" t="s">
        <v>269</v>
      </c>
      <c r="H58" s="24" t="s">
        <v>270</v>
      </c>
      <c r="I58" s="24"/>
    </row>
    <row r="59" customFormat="false" ht="27.75" hidden="false" customHeight="true" outlineLevel="0" collapsed="false">
      <c r="A59" s="18" t="n">
        <v>55</v>
      </c>
      <c r="B59" s="19" t="s">
        <v>271</v>
      </c>
      <c r="C59" s="18" t="s">
        <v>272</v>
      </c>
      <c r="D59" s="20" t="s">
        <v>66</v>
      </c>
      <c r="E59" s="25" t="s">
        <v>10</v>
      </c>
      <c r="F59" s="18" t="s">
        <v>141</v>
      </c>
      <c r="G59" s="20" t="s">
        <v>273</v>
      </c>
      <c r="H59" s="20" t="s">
        <v>274</v>
      </c>
      <c r="I59" s="20"/>
    </row>
    <row r="60" customFormat="false" ht="15" hidden="false" customHeight="true" outlineLevel="0" collapsed="false">
      <c r="A60" s="22" t="n">
        <v>56</v>
      </c>
      <c r="B60" s="23" t="s">
        <v>275</v>
      </c>
      <c r="C60" s="22" t="s">
        <v>276</v>
      </c>
      <c r="D60" s="24" t="s">
        <v>62</v>
      </c>
      <c r="E60" s="25" t="s">
        <v>10</v>
      </c>
      <c r="F60" s="22" t="s">
        <v>150</v>
      </c>
      <c r="G60" s="24" t="s">
        <v>277</v>
      </c>
      <c r="H60" s="24" t="s">
        <v>278</v>
      </c>
      <c r="I60" s="24"/>
    </row>
    <row r="61" customFormat="false" ht="52.5" hidden="false" customHeight="true" outlineLevel="0" collapsed="false">
      <c r="A61" s="18" t="n">
        <v>57</v>
      </c>
      <c r="B61" s="19" t="s">
        <v>279</v>
      </c>
      <c r="C61" s="18" t="s">
        <v>280</v>
      </c>
      <c r="D61" s="20" t="s">
        <v>66</v>
      </c>
      <c r="E61" s="25" t="s">
        <v>10</v>
      </c>
      <c r="F61" s="18" t="s">
        <v>99</v>
      </c>
      <c r="G61" s="20" t="s">
        <v>281</v>
      </c>
      <c r="H61" s="20" t="s">
        <v>282</v>
      </c>
      <c r="I61" s="20"/>
    </row>
    <row r="62" customFormat="false" ht="15" hidden="false" customHeight="true" outlineLevel="0" collapsed="false">
      <c r="A62" s="22" t="n">
        <v>58</v>
      </c>
      <c r="B62" s="23" t="s">
        <v>283</v>
      </c>
      <c r="C62" s="22" t="s">
        <v>284</v>
      </c>
      <c r="D62" s="24" t="s">
        <v>66</v>
      </c>
      <c r="E62" s="25" t="s">
        <v>10</v>
      </c>
      <c r="F62" s="22" t="s">
        <v>163</v>
      </c>
      <c r="G62" s="24" t="s">
        <v>285</v>
      </c>
      <c r="H62" s="24" t="s">
        <v>286</v>
      </c>
      <c r="I62" s="24"/>
    </row>
    <row r="63" customFormat="false" ht="15" hidden="false" customHeight="true" outlineLevel="0" collapsed="false">
      <c r="A63" s="18" t="n">
        <v>59</v>
      </c>
      <c r="B63" s="19" t="s">
        <v>287</v>
      </c>
      <c r="C63" s="18" t="s">
        <v>288</v>
      </c>
      <c r="D63" s="20" t="s">
        <v>66</v>
      </c>
      <c r="E63" s="25" t="s">
        <v>10</v>
      </c>
      <c r="F63" s="18" t="s">
        <v>168</v>
      </c>
      <c r="G63" s="20" t="s">
        <v>289</v>
      </c>
      <c r="H63" s="20" t="s">
        <v>290</v>
      </c>
      <c r="I63" s="20"/>
    </row>
    <row r="64" customFormat="false" ht="15" hidden="false" customHeight="true" outlineLevel="0" collapsed="false">
      <c r="A64" s="22" t="n">
        <v>60</v>
      </c>
      <c r="B64" s="23" t="s">
        <v>291</v>
      </c>
      <c r="C64" s="22" t="s">
        <v>292</v>
      </c>
      <c r="D64" s="24" t="s">
        <v>66</v>
      </c>
      <c r="E64" s="25" t="s">
        <v>10</v>
      </c>
      <c r="F64" s="22" t="s">
        <v>168</v>
      </c>
      <c r="G64" s="24" t="s">
        <v>293</v>
      </c>
      <c r="H64" s="24" t="s">
        <v>294</v>
      </c>
      <c r="I64" s="24"/>
    </row>
    <row r="65" customFormat="false" ht="40.5" hidden="false" customHeight="true" outlineLevel="0" collapsed="false">
      <c r="A65" s="18" t="n">
        <v>61</v>
      </c>
      <c r="B65" s="19" t="s">
        <v>295</v>
      </c>
      <c r="C65" s="18" t="s">
        <v>296</v>
      </c>
      <c r="D65" s="20" t="s">
        <v>66</v>
      </c>
      <c r="E65" s="25" t="s">
        <v>10</v>
      </c>
      <c r="F65" s="18" t="s">
        <v>99</v>
      </c>
      <c r="G65" s="20" t="s">
        <v>297</v>
      </c>
      <c r="H65" s="20" t="s">
        <v>298</v>
      </c>
      <c r="I65" s="20"/>
    </row>
    <row r="66" customFormat="false" ht="40.5" hidden="false" customHeight="true" outlineLevel="0" collapsed="false">
      <c r="A66" s="22" t="n">
        <v>62</v>
      </c>
      <c r="B66" s="23" t="s">
        <v>299</v>
      </c>
      <c r="C66" s="22" t="s">
        <v>162</v>
      </c>
      <c r="D66" s="24" t="s">
        <v>62</v>
      </c>
      <c r="E66" s="25" t="s">
        <v>10</v>
      </c>
      <c r="F66" s="22" t="s">
        <v>99</v>
      </c>
      <c r="G66" s="24" t="s">
        <v>300</v>
      </c>
      <c r="H66" s="24" t="s">
        <v>301</v>
      </c>
      <c r="I66" s="24"/>
    </row>
    <row r="67" customFormat="false" ht="52.5" hidden="false" customHeight="true" outlineLevel="0" collapsed="false">
      <c r="A67" s="18" t="n">
        <v>63</v>
      </c>
      <c r="B67" s="19" t="s">
        <v>302</v>
      </c>
      <c r="C67" s="18" t="s">
        <v>149</v>
      </c>
      <c r="D67" s="20" t="s">
        <v>66</v>
      </c>
      <c r="E67" s="25" t="s">
        <v>10</v>
      </c>
      <c r="F67" s="18" t="s">
        <v>99</v>
      </c>
      <c r="G67" s="20" t="s">
        <v>281</v>
      </c>
      <c r="H67" s="20" t="s">
        <v>303</v>
      </c>
      <c r="I67" s="20"/>
    </row>
    <row r="68" customFormat="false" ht="27.75" hidden="false" customHeight="true" outlineLevel="0" collapsed="false">
      <c r="A68" s="22" t="n">
        <v>64</v>
      </c>
      <c r="B68" s="23" t="s">
        <v>304</v>
      </c>
      <c r="C68" s="22" t="s">
        <v>305</v>
      </c>
      <c r="D68" s="24" t="s">
        <v>62</v>
      </c>
      <c r="E68" s="25" t="s">
        <v>10</v>
      </c>
      <c r="F68" s="22" t="s">
        <v>99</v>
      </c>
      <c r="G68" s="24" t="s">
        <v>306</v>
      </c>
      <c r="H68" s="24" t="s">
        <v>307</v>
      </c>
      <c r="I68" s="24"/>
    </row>
    <row r="69" customFormat="false" ht="15" hidden="false" customHeight="true" outlineLevel="0" collapsed="false">
      <c r="A69" s="18" t="n">
        <v>65</v>
      </c>
      <c r="B69" s="19" t="s">
        <v>308</v>
      </c>
      <c r="C69" s="18" t="s">
        <v>309</v>
      </c>
      <c r="D69" s="20" t="s">
        <v>62</v>
      </c>
      <c r="E69" s="25" t="s">
        <v>10</v>
      </c>
      <c r="F69" s="18" t="s">
        <v>310</v>
      </c>
      <c r="G69" s="20" t="s">
        <v>311</v>
      </c>
      <c r="H69" s="20" t="s">
        <v>312</v>
      </c>
      <c r="I69" s="20"/>
    </row>
    <row r="70" customFormat="false" ht="52.5" hidden="false" customHeight="true" outlineLevel="0" collapsed="false">
      <c r="A70" s="22" t="n">
        <v>66</v>
      </c>
      <c r="B70" s="23" t="s">
        <v>313</v>
      </c>
      <c r="C70" s="22" t="s">
        <v>314</v>
      </c>
      <c r="D70" s="24" t="s">
        <v>66</v>
      </c>
      <c r="E70" s="25" t="s">
        <v>10</v>
      </c>
      <c r="F70" s="22" t="s">
        <v>99</v>
      </c>
      <c r="G70" s="24" t="s">
        <v>281</v>
      </c>
      <c r="H70" s="24" t="s">
        <v>315</v>
      </c>
      <c r="I70" s="24"/>
    </row>
    <row r="71" customFormat="false" ht="52.5" hidden="false" customHeight="true" outlineLevel="0" collapsed="false">
      <c r="A71" s="18" t="n">
        <v>67</v>
      </c>
      <c r="B71" s="19" t="s">
        <v>316</v>
      </c>
      <c r="C71" s="18" t="s">
        <v>317</v>
      </c>
      <c r="D71" s="20" t="s">
        <v>62</v>
      </c>
      <c r="E71" s="25" t="s">
        <v>10</v>
      </c>
      <c r="F71" s="18" t="s">
        <v>168</v>
      </c>
      <c r="G71" s="20" t="s">
        <v>318</v>
      </c>
      <c r="H71" s="20" t="s">
        <v>319</v>
      </c>
      <c r="I71" s="20"/>
    </row>
    <row r="72" customFormat="false" ht="15" hidden="false" customHeight="true" outlineLevel="0" collapsed="false">
      <c r="A72" s="22" t="n">
        <v>68</v>
      </c>
      <c r="B72" s="23" t="s">
        <v>320</v>
      </c>
      <c r="C72" s="22" t="s">
        <v>321</v>
      </c>
      <c r="D72" s="24" t="s">
        <v>66</v>
      </c>
      <c r="E72" s="25" t="s">
        <v>10</v>
      </c>
      <c r="F72" s="22" t="s">
        <v>168</v>
      </c>
      <c r="G72" s="24" t="s">
        <v>322</v>
      </c>
      <c r="H72" s="24" t="s">
        <v>323</v>
      </c>
      <c r="I72" s="24"/>
    </row>
    <row r="73" customFormat="false" ht="27.75" hidden="false" customHeight="true" outlineLevel="0" collapsed="false">
      <c r="A73" s="18" t="n">
        <v>69</v>
      </c>
      <c r="B73" s="19" t="s">
        <v>324</v>
      </c>
      <c r="C73" s="18" t="s">
        <v>325</v>
      </c>
      <c r="D73" s="20" t="s">
        <v>66</v>
      </c>
      <c r="E73" s="25" t="s">
        <v>10</v>
      </c>
      <c r="F73" s="18" t="s">
        <v>150</v>
      </c>
      <c r="G73" s="20" t="s">
        <v>326</v>
      </c>
      <c r="H73" s="20" t="s">
        <v>327</v>
      </c>
      <c r="I73" s="20"/>
    </row>
    <row r="74" customFormat="false" ht="40.5" hidden="false" customHeight="true" outlineLevel="0" collapsed="false">
      <c r="A74" s="22" t="n">
        <v>70</v>
      </c>
      <c r="B74" s="23" t="s">
        <v>328</v>
      </c>
      <c r="C74" s="22" t="s">
        <v>329</v>
      </c>
      <c r="D74" s="24" t="s">
        <v>66</v>
      </c>
      <c r="E74" s="25" t="s">
        <v>10</v>
      </c>
      <c r="F74" s="22" t="s">
        <v>150</v>
      </c>
      <c r="G74" s="24" t="s">
        <v>330</v>
      </c>
      <c r="H74" s="24" t="s">
        <v>331</v>
      </c>
      <c r="I74" s="24"/>
    </row>
    <row r="75" customFormat="false" ht="27.75" hidden="false" customHeight="true" outlineLevel="0" collapsed="false">
      <c r="A75" s="18" t="n">
        <v>71</v>
      </c>
      <c r="B75" s="19" t="s">
        <v>332</v>
      </c>
      <c r="C75" s="18" t="s">
        <v>333</v>
      </c>
      <c r="D75" s="20" t="s">
        <v>66</v>
      </c>
      <c r="E75" s="25" t="s">
        <v>10</v>
      </c>
      <c r="F75" s="18" t="s">
        <v>334</v>
      </c>
      <c r="G75" s="20" t="s">
        <v>335</v>
      </c>
      <c r="H75" s="20" t="s">
        <v>336</v>
      </c>
      <c r="I75" s="20"/>
    </row>
    <row r="76" customFormat="false" ht="27.75" hidden="false" customHeight="true" outlineLevel="0" collapsed="false">
      <c r="A76" s="22" t="n">
        <v>72</v>
      </c>
      <c r="B76" s="23" t="s">
        <v>337</v>
      </c>
      <c r="C76" s="22" t="s">
        <v>338</v>
      </c>
      <c r="D76" s="24" t="s">
        <v>62</v>
      </c>
      <c r="E76" s="25" t="s">
        <v>10</v>
      </c>
      <c r="F76" s="22" t="s">
        <v>150</v>
      </c>
      <c r="G76" s="24" t="s">
        <v>339</v>
      </c>
      <c r="H76" s="24" t="s">
        <v>340</v>
      </c>
      <c r="I76" s="24"/>
    </row>
    <row r="77" customFormat="false" ht="27.75" hidden="false" customHeight="true" outlineLevel="0" collapsed="false">
      <c r="A77" s="18" t="n">
        <v>73</v>
      </c>
      <c r="B77" s="19" t="s">
        <v>341</v>
      </c>
      <c r="C77" s="18" t="s">
        <v>342</v>
      </c>
      <c r="D77" s="20" t="s">
        <v>66</v>
      </c>
      <c r="E77" s="25" t="s">
        <v>10</v>
      </c>
      <c r="F77" s="18" t="s">
        <v>150</v>
      </c>
      <c r="G77" s="20" t="s">
        <v>343</v>
      </c>
      <c r="H77" s="20" t="s">
        <v>344</v>
      </c>
      <c r="I77" s="20"/>
    </row>
    <row r="78" customFormat="false" ht="27.75" hidden="false" customHeight="true" outlineLevel="0" collapsed="false">
      <c r="A78" s="22" t="n">
        <v>74</v>
      </c>
      <c r="B78" s="23" t="s">
        <v>345</v>
      </c>
      <c r="C78" s="22" t="s">
        <v>149</v>
      </c>
      <c r="D78" s="24" t="s">
        <v>66</v>
      </c>
      <c r="E78" s="25" t="s">
        <v>10</v>
      </c>
      <c r="F78" s="22" t="s">
        <v>163</v>
      </c>
      <c r="G78" s="24" t="s">
        <v>281</v>
      </c>
      <c r="H78" s="24" t="s">
        <v>346</v>
      </c>
      <c r="I78" s="24"/>
    </row>
    <row r="79" customFormat="false" ht="27.75" hidden="false" customHeight="true" outlineLevel="0" collapsed="false">
      <c r="A79" s="18" t="n">
        <v>75</v>
      </c>
      <c r="B79" s="19" t="s">
        <v>347</v>
      </c>
      <c r="C79" s="18" t="s">
        <v>348</v>
      </c>
      <c r="D79" s="20" t="s">
        <v>62</v>
      </c>
      <c r="E79" s="25" t="s">
        <v>10</v>
      </c>
      <c r="F79" s="18" t="s">
        <v>163</v>
      </c>
      <c r="G79" s="20" t="s">
        <v>349</v>
      </c>
      <c r="H79" s="20" t="s">
        <v>350</v>
      </c>
      <c r="I79" s="20"/>
    </row>
    <row r="80" customFormat="false" ht="15" hidden="false" customHeight="true" outlineLevel="0" collapsed="false">
      <c r="A80" s="22" t="n">
        <v>76</v>
      </c>
      <c r="B80" s="23" t="s">
        <v>351</v>
      </c>
      <c r="C80" s="22" t="s">
        <v>352</v>
      </c>
      <c r="D80" s="24" t="s">
        <v>66</v>
      </c>
      <c r="E80" s="25" t="s">
        <v>10</v>
      </c>
      <c r="F80" s="22" t="s">
        <v>163</v>
      </c>
      <c r="G80" s="24" t="s">
        <v>353</v>
      </c>
      <c r="H80" s="24" t="s">
        <v>354</v>
      </c>
      <c r="I80" s="24"/>
    </row>
    <row r="81" customFormat="false" ht="15" hidden="false" customHeight="true" outlineLevel="0" collapsed="false">
      <c r="A81" s="18" t="n">
        <v>77</v>
      </c>
      <c r="B81" s="19" t="s">
        <v>355</v>
      </c>
      <c r="C81" s="18" t="s">
        <v>356</v>
      </c>
      <c r="D81" s="20"/>
      <c r="E81" s="25" t="s">
        <v>10</v>
      </c>
      <c r="F81" s="18" t="s">
        <v>163</v>
      </c>
      <c r="G81" s="20" t="s">
        <v>357</v>
      </c>
      <c r="H81" s="20" t="s">
        <v>358</v>
      </c>
      <c r="I81" s="20"/>
    </row>
    <row r="82" customFormat="false" ht="15" hidden="false" customHeight="true" outlineLevel="0" collapsed="false">
      <c r="A82" s="22" t="n">
        <v>78</v>
      </c>
      <c r="B82" s="23" t="s">
        <v>359</v>
      </c>
      <c r="C82" s="22" t="s">
        <v>360</v>
      </c>
      <c r="D82" s="24" t="s">
        <v>66</v>
      </c>
      <c r="E82" s="25" t="s">
        <v>10</v>
      </c>
      <c r="F82" s="22" t="s">
        <v>221</v>
      </c>
      <c r="G82" s="24" t="s">
        <v>361</v>
      </c>
      <c r="H82" s="24" t="s">
        <v>362</v>
      </c>
      <c r="I82" s="24"/>
    </row>
    <row r="83" customFormat="false" ht="27.75" hidden="false" customHeight="true" outlineLevel="0" collapsed="false">
      <c r="A83" s="18" t="n">
        <v>79</v>
      </c>
      <c r="B83" s="19" t="s">
        <v>363</v>
      </c>
      <c r="C83" s="18" t="s">
        <v>364</v>
      </c>
      <c r="D83" s="20" t="s">
        <v>62</v>
      </c>
      <c r="E83" s="25" t="s">
        <v>10</v>
      </c>
      <c r="F83" s="18" t="s">
        <v>99</v>
      </c>
      <c r="G83" s="20" t="s">
        <v>281</v>
      </c>
      <c r="H83" s="20" t="s">
        <v>365</v>
      </c>
      <c r="I83" s="20"/>
    </row>
    <row r="84" customFormat="false" ht="15" hidden="false" customHeight="true" outlineLevel="0" collapsed="false">
      <c r="A84" s="22" t="n">
        <v>80</v>
      </c>
      <c r="B84" s="23" t="s">
        <v>366</v>
      </c>
      <c r="C84" s="22" t="s">
        <v>367</v>
      </c>
      <c r="D84" s="24"/>
      <c r="E84" s="25" t="s">
        <v>10</v>
      </c>
      <c r="F84" s="22" t="s">
        <v>163</v>
      </c>
      <c r="G84" s="24" t="s">
        <v>368</v>
      </c>
      <c r="H84" s="24" t="s">
        <v>369</v>
      </c>
      <c r="I84" s="24"/>
    </row>
    <row r="85" customFormat="false" ht="15" hidden="false" customHeight="true" outlineLevel="0" collapsed="false">
      <c r="A85" s="18" t="n">
        <v>81</v>
      </c>
      <c r="B85" s="19" t="s">
        <v>370</v>
      </c>
      <c r="C85" s="18" t="s">
        <v>149</v>
      </c>
      <c r="D85" s="20" t="s">
        <v>66</v>
      </c>
      <c r="E85" s="25" t="s">
        <v>10</v>
      </c>
      <c r="F85" s="18" t="s">
        <v>163</v>
      </c>
      <c r="G85" s="20" t="s">
        <v>281</v>
      </c>
      <c r="H85" s="20" t="s">
        <v>371</v>
      </c>
      <c r="I85" s="20"/>
    </row>
    <row r="86" customFormat="false" ht="15" hidden="false" customHeight="true" outlineLevel="0" collapsed="false">
      <c r="A86" s="22" t="n">
        <v>82</v>
      </c>
      <c r="B86" s="23" t="s">
        <v>372</v>
      </c>
      <c r="C86" s="22" t="s">
        <v>373</v>
      </c>
      <c r="D86" s="24" t="s">
        <v>66</v>
      </c>
      <c r="E86" s="25" t="s">
        <v>10</v>
      </c>
      <c r="F86" s="22" t="s">
        <v>221</v>
      </c>
      <c r="G86" s="24" t="s">
        <v>374</v>
      </c>
      <c r="H86" s="24" t="s">
        <v>375</v>
      </c>
      <c r="I86" s="24"/>
    </row>
    <row r="87" customFormat="false" ht="27.75" hidden="false" customHeight="true" outlineLevel="0" collapsed="false">
      <c r="A87" s="18" t="n">
        <v>83</v>
      </c>
      <c r="B87" s="19" t="s">
        <v>376</v>
      </c>
      <c r="C87" s="18" t="s">
        <v>377</v>
      </c>
      <c r="D87" s="20" t="s">
        <v>66</v>
      </c>
      <c r="E87" s="25" t="s">
        <v>10</v>
      </c>
      <c r="F87" s="18" t="s">
        <v>168</v>
      </c>
      <c r="G87" s="20" t="s">
        <v>378</v>
      </c>
      <c r="H87" s="20" t="s">
        <v>379</v>
      </c>
      <c r="I87" s="20"/>
    </row>
    <row r="88" customFormat="false" ht="27.75" hidden="false" customHeight="true" outlineLevel="0" collapsed="false">
      <c r="A88" s="22" t="n">
        <v>84</v>
      </c>
      <c r="B88" s="23" t="s">
        <v>380</v>
      </c>
      <c r="C88" s="22" t="s">
        <v>381</v>
      </c>
      <c r="D88" s="24" t="s">
        <v>62</v>
      </c>
      <c r="E88" s="25" t="s">
        <v>10</v>
      </c>
      <c r="F88" s="22" t="s">
        <v>18</v>
      </c>
      <c r="G88" s="24" t="s">
        <v>382</v>
      </c>
      <c r="H88" s="24" t="s">
        <v>383</v>
      </c>
      <c r="I88" s="24"/>
    </row>
    <row r="89" customFormat="false" ht="15" hidden="false" customHeight="true" outlineLevel="0" collapsed="false">
      <c r="A89" s="18" t="n">
        <v>85</v>
      </c>
      <c r="B89" s="19" t="s">
        <v>384</v>
      </c>
      <c r="C89" s="18" t="s">
        <v>385</v>
      </c>
      <c r="D89" s="20" t="s">
        <v>66</v>
      </c>
      <c r="E89" s="25" t="s">
        <v>10</v>
      </c>
      <c r="F89" s="18" t="s">
        <v>168</v>
      </c>
      <c r="G89" s="20" t="s">
        <v>386</v>
      </c>
      <c r="H89" s="20" t="s">
        <v>387</v>
      </c>
      <c r="I89" s="20"/>
    </row>
    <row r="90" customFormat="false" ht="15" hidden="false" customHeight="true" outlineLevel="0" collapsed="false">
      <c r="A90" s="22" t="n">
        <v>86</v>
      </c>
      <c r="B90" s="23" t="s">
        <v>388</v>
      </c>
      <c r="C90" s="22" t="s">
        <v>149</v>
      </c>
      <c r="D90" s="24" t="s">
        <v>66</v>
      </c>
      <c r="E90" s="25" t="s">
        <v>10</v>
      </c>
      <c r="F90" s="22" t="s">
        <v>150</v>
      </c>
      <c r="G90" s="24" t="s">
        <v>389</v>
      </c>
      <c r="H90" s="24" t="s">
        <v>390</v>
      </c>
      <c r="I90" s="24"/>
    </row>
    <row r="91" customFormat="false" ht="27.75" hidden="false" customHeight="true" outlineLevel="0" collapsed="false">
      <c r="A91" s="18" t="n">
        <v>87</v>
      </c>
      <c r="B91" s="19" t="s">
        <v>391</v>
      </c>
      <c r="C91" s="18" t="s">
        <v>392</v>
      </c>
      <c r="D91" s="20" t="s">
        <v>62</v>
      </c>
      <c r="E91" s="25" t="s">
        <v>10</v>
      </c>
      <c r="F91" s="18" t="s">
        <v>86</v>
      </c>
      <c r="G91" s="20" t="s">
        <v>393</v>
      </c>
      <c r="H91" s="20" t="s">
        <v>394</v>
      </c>
      <c r="I91" s="20"/>
    </row>
    <row r="92" customFormat="false" ht="40.5" hidden="false" customHeight="true" outlineLevel="0" collapsed="false">
      <c r="A92" s="22" t="n">
        <v>88</v>
      </c>
      <c r="B92" s="23" t="s">
        <v>395</v>
      </c>
      <c r="C92" s="22" t="s">
        <v>396</v>
      </c>
      <c r="D92" s="24" t="s">
        <v>66</v>
      </c>
      <c r="E92" s="25" t="s">
        <v>10</v>
      </c>
      <c r="F92" s="22" t="s">
        <v>334</v>
      </c>
      <c r="G92" s="24" t="s">
        <v>397</v>
      </c>
      <c r="H92" s="24" t="s">
        <v>398</v>
      </c>
      <c r="I92" s="24"/>
    </row>
    <row r="93" customFormat="false" ht="15" hidden="false" customHeight="true" outlineLevel="0" collapsed="false">
      <c r="A93" s="18" t="n">
        <v>89</v>
      </c>
      <c r="B93" s="19" t="s">
        <v>399</v>
      </c>
      <c r="C93" s="18" t="s">
        <v>400</v>
      </c>
      <c r="D93" s="20" t="s">
        <v>62</v>
      </c>
      <c r="E93" s="25" t="s">
        <v>10</v>
      </c>
      <c r="F93" s="18" t="s">
        <v>150</v>
      </c>
      <c r="G93" s="20" t="s">
        <v>401</v>
      </c>
      <c r="H93" s="20" t="s">
        <v>402</v>
      </c>
      <c r="I93" s="20"/>
    </row>
    <row r="94" customFormat="false" ht="15" hidden="false" customHeight="true" outlineLevel="0" collapsed="false">
      <c r="A94" s="22" t="n">
        <v>90</v>
      </c>
      <c r="B94" s="23" t="s">
        <v>403</v>
      </c>
      <c r="C94" s="22" t="s">
        <v>404</v>
      </c>
      <c r="D94" s="24" t="s">
        <v>66</v>
      </c>
      <c r="E94" s="25" t="s">
        <v>10</v>
      </c>
      <c r="F94" s="22" t="s">
        <v>163</v>
      </c>
      <c r="G94" s="24" t="s">
        <v>405</v>
      </c>
      <c r="H94" s="24" t="s">
        <v>406</v>
      </c>
      <c r="I94" s="24"/>
    </row>
    <row r="95" customFormat="false" ht="27.75" hidden="false" customHeight="true" outlineLevel="0" collapsed="false">
      <c r="A95" s="18" t="n">
        <v>91</v>
      </c>
      <c r="B95" s="19" t="s">
        <v>407</v>
      </c>
      <c r="C95" s="18" t="s">
        <v>408</v>
      </c>
      <c r="D95" s="20" t="s">
        <v>62</v>
      </c>
      <c r="E95" s="25" t="s">
        <v>10</v>
      </c>
      <c r="F95" s="18" t="s">
        <v>86</v>
      </c>
      <c r="G95" s="20" t="s">
        <v>254</v>
      </c>
      <c r="H95" s="20" t="s">
        <v>409</v>
      </c>
      <c r="I95" s="20"/>
    </row>
    <row r="96" customFormat="false" ht="15" hidden="false" customHeight="true" outlineLevel="0" collapsed="false">
      <c r="A96" s="22" t="n">
        <v>92</v>
      </c>
      <c r="B96" s="23" t="s">
        <v>410</v>
      </c>
      <c r="C96" s="22" t="s">
        <v>411</v>
      </c>
      <c r="D96" s="24" t="s">
        <v>66</v>
      </c>
      <c r="E96" s="25" t="s">
        <v>10</v>
      </c>
      <c r="F96" s="22" t="s">
        <v>221</v>
      </c>
      <c r="G96" s="24" t="s">
        <v>412</v>
      </c>
      <c r="H96" s="24" t="s">
        <v>413</v>
      </c>
      <c r="I96" s="24"/>
    </row>
    <row r="97" customFormat="false" ht="27.75" hidden="false" customHeight="true" outlineLevel="0" collapsed="false">
      <c r="A97" s="18" t="n">
        <v>93</v>
      </c>
      <c r="B97" s="19" t="s">
        <v>414</v>
      </c>
      <c r="C97" s="18" t="s">
        <v>415</v>
      </c>
      <c r="D97" s="20" t="s">
        <v>62</v>
      </c>
      <c r="E97" s="25" t="s">
        <v>10</v>
      </c>
      <c r="F97" s="18" t="s">
        <v>99</v>
      </c>
      <c r="G97" s="20" t="s">
        <v>281</v>
      </c>
      <c r="H97" s="20" t="s">
        <v>416</v>
      </c>
      <c r="I97" s="20"/>
    </row>
    <row r="98" customFormat="false" ht="27.75" hidden="false" customHeight="true" outlineLevel="0" collapsed="false">
      <c r="A98" s="22" t="n">
        <v>94</v>
      </c>
      <c r="B98" s="23" t="s">
        <v>417</v>
      </c>
      <c r="C98" s="22" t="s">
        <v>418</v>
      </c>
      <c r="D98" s="24" t="s">
        <v>62</v>
      </c>
      <c r="E98" s="25" t="s">
        <v>10</v>
      </c>
      <c r="F98" s="22" t="s">
        <v>163</v>
      </c>
      <c r="G98" s="24" t="s">
        <v>277</v>
      </c>
      <c r="H98" s="24" t="s">
        <v>419</v>
      </c>
      <c r="I98" s="24"/>
    </row>
    <row r="99" customFormat="false" ht="40.5" hidden="false" customHeight="true" outlineLevel="0" collapsed="false">
      <c r="A99" s="18" t="n">
        <v>95</v>
      </c>
      <c r="B99" s="19" t="s">
        <v>420</v>
      </c>
      <c r="C99" s="18" t="s">
        <v>421</v>
      </c>
      <c r="D99" s="20" t="s">
        <v>66</v>
      </c>
      <c r="E99" s="25" t="s">
        <v>10</v>
      </c>
      <c r="F99" s="18" t="s">
        <v>99</v>
      </c>
      <c r="G99" s="20" t="s">
        <v>281</v>
      </c>
      <c r="H99" s="20" t="s">
        <v>422</v>
      </c>
      <c r="I99" s="20"/>
    </row>
    <row r="100" customFormat="false" ht="27.75" hidden="false" customHeight="true" outlineLevel="0" collapsed="false">
      <c r="A100" s="22" t="n">
        <v>96</v>
      </c>
      <c r="B100" s="23" t="s">
        <v>423</v>
      </c>
      <c r="C100" s="22" t="s">
        <v>424</v>
      </c>
      <c r="D100" s="24" t="s">
        <v>62</v>
      </c>
      <c r="E100" s="25" t="s">
        <v>10</v>
      </c>
      <c r="F100" s="22" t="s">
        <v>163</v>
      </c>
      <c r="G100" s="24" t="s">
        <v>195</v>
      </c>
      <c r="H100" s="24" t="s">
        <v>425</v>
      </c>
      <c r="I100" s="24"/>
    </row>
    <row r="101" customFormat="false" ht="15" hidden="false" customHeight="true" outlineLevel="0" collapsed="false">
      <c r="A101" s="18" t="n">
        <v>97</v>
      </c>
      <c r="B101" s="19" t="s">
        <v>426</v>
      </c>
      <c r="C101" s="18" t="s">
        <v>427</v>
      </c>
      <c r="D101" s="20"/>
      <c r="E101" s="25" t="s">
        <v>10</v>
      </c>
      <c r="F101" s="18" t="s">
        <v>163</v>
      </c>
      <c r="G101" s="20" t="s">
        <v>159</v>
      </c>
      <c r="H101" s="20" t="s">
        <v>428</v>
      </c>
      <c r="I101" s="20"/>
    </row>
    <row r="102" customFormat="false" ht="15" hidden="false" customHeight="true" outlineLevel="0" collapsed="false">
      <c r="A102" s="22" t="n">
        <v>98</v>
      </c>
      <c r="B102" s="23" t="s">
        <v>429</v>
      </c>
      <c r="C102" s="22" t="s">
        <v>272</v>
      </c>
      <c r="D102" s="24" t="s">
        <v>66</v>
      </c>
      <c r="E102" s="25" t="s">
        <v>10</v>
      </c>
      <c r="F102" s="22" t="s">
        <v>249</v>
      </c>
      <c r="G102" s="24" t="s">
        <v>430</v>
      </c>
      <c r="H102" s="24" t="s">
        <v>431</v>
      </c>
      <c r="I102" s="24"/>
    </row>
    <row r="103" customFormat="false" ht="15" hidden="false" customHeight="true" outlineLevel="0" collapsed="false">
      <c r="A103" s="18" t="n">
        <v>99</v>
      </c>
      <c r="B103" s="19" t="s">
        <v>432</v>
      </c>
      <c r="C103" s="18" t="s">
        <v>433</v>
      </c>
      <c r="D103" s="20" t="s">
        <v>66</v>
      </c>
      <c r="E103" s="25" t="s">
        <v>10</v>
      </c>
      <c r="F103" s="18" t="s">
        <v>168</v>
      </c>
      <c r="G103" s="20" t="s">
        <v>434</v>
      </c>
      <c r="H103" s="20" t="s">
        <v>435</v>
      </c>
      <c r="I103" s="20"/>
    </row>
    <row r="104" customFormat="false" ht="15" hidden="false" customHeight="true" outlineLevel="0" collapsed="false">
      <c r="A104" s="22" t="n">
        <v>100</v>
      </c>
      <c r="B104" s="23" t="s">
        <v>436</v>
      </c>
      <c r="C104" s="22" t="s">
        <v>364</v>
      </c>
      <c r="D104" s="24"/>
      <c r="E104" s="25" t="s">
        <v>10</v>
      </c>
      <c r="F104" s="22" t="s">
        <v>163</v>
      </c>
      <c r="G104" s="24" t="s">
        <v>437</v>
      </c>
      <c r="H104" s="24" t="s">
        <v>438</v>
      </c>
      <c r="I104" s="24"/>
    </row>
    <row r="105" customFormat="false" ht="15" hidden="false" customHeight="true" outlineLevel="0" collapsed="false">
      <c r="A105" s="18" t="n">
        <v>101</v>
      </c>
      <c r="B105" s="19" t="s">
        <v>439</v>
      </c>
      <c r="C105" s="18" t="s">
        <v>440</v>
      </c>
      <c r="D105" s="20"/>
      <c r="E105" s="25" t="s">
        <v>10</v>
      </c>
      <c r="F105" s="18" t="s">
        <v>163</v>
      </c>
      <c r="G105" s="20" t="s">
        <v>285</v>
      </c>
      <c r="H105" s="20" t="s">
        <v>441</v>
      </c>
      <c r="I105" s="20"/>
    </row>
    <row r="106" customFormat="false" ht="15" hidden="false" customHeight="true" outlineLevel="0" collapsed="false">
      <c r="A106" s="22" t="n">
        <v>102</v>
      </c>
      <c r="B106" s="23" t="s">
        <v>442</v>
      </c>
      <c r="C106" s="22" t="s">
        <v>305</v>
      </c>
      <c r="D106" s="24" t="s">
        <v>58</v>
      </c>
      <c r="E106" s="25" t="s">
        <v>10</v>
      </c>
      <c r="F106" s="22" t="s">
        <v>86</v>
      </c>
      <c r="G106" s="24" t="s">
        <v>443</v>
      </c>
      <c r="H106" s="24" t="s">
        <v>444</v>
      </c>
      <c r="I106" s="24"/>
    </row>
    <row r="107" customFormat="false" ht="15" hidden="false" customHeight="true" outlineLevel="0" collapsed="false">
      <c r="A107" s="18" t="n">
        <v>103</v>
      </c>
      <c r="B107" s="19" t="s">
        <v>445</v>
      </c>
      <c r="C107" s="18" t="s">
        <v>446</v>
      </c>
      <c r="D107" s="20" t="s">
        <v>66</v>
      </c>
      <c r="E107" s="25" t="s">
        <v>10</v>
      </c>
      <c r="F107" s="18" t="s">
        <v>86</v>
      </c>
      <c r="G107" s="20" t="s">
        <v>281</v>
      </c>
      <c r="H107" s="20" t="s">
        <v>447</v>
      </c>
      <c r="I107" s="20"/>
    </row>
    <row r="108" customFormat="false" ht="15" hidden="false" customHeight="true" outlineLevel="0" collapsed="false">
      <c r="A108" s="22" t="n">
        <v>104</v>
      </c>
      <c r="B108" s="23" t="s">
        <v>448</v>
      </c>
      <c r="C108" s="22" t="s">
        <v>440</v>
      </c>
      <c r="D108" s="24"/>
      <c r="E108" s="25" t="s">
        <v>10</v>
      </c>
      <c r="F108" s="22" t="s">
        <v>86</v>
      </c>
      <c r="G108" s="24" t="s">
        <v>449</v>
      </c>
      <c r="H108" s="24" t="s">
        <v>450</v>
      </c>
      <c r="I108" s="24"/>
    </row>
    <row r="109" customFormat="false" ht="15" hidden="false" customHeight="true" outlineLevel="0" collapsed="false">
      <c r="A109" s="18" t="n">
        <v>105</v>
      </c>
      <c r="B109" s="19" t="s">
        <v>451</v>
      </c>
      <c r="C109" s="18" t="s">
        <v>452</v>
      </c>
      <c r="D109" s="20" t="s">
        <v>66</v>
      </c>
      <c r="E109" s="25" t="s">
        <v>10</v>
      </c>
      <c r="F109" s="18" t="s">
        <v>99</v>
      </c>
      <c r="G109" s="20" t="s">
        <v>453</v>
      </c>
      <c r="H109" s="20" t="s">
        <v>454</v>
      </c>
      <c r="I109" s="20"/>
    </row>
    <row r="110" customFormat="false" ht="27.75" hidden="false" customHeight="true" outlineLevel="0" collapsed="false">
      <c r="A110" s="22" t="n">
        <v>106</v>
      </c>
      <c r="B110" s="23" t="s">
        <v>455</v>
      </c>
      <c r="C110" s="22" t="s">
        <v>149</v>
      </c>
      <c r="D110" s="24" t="s">
        <v>66</v>
      </c>
      <c r="E110" s="25" t="s">
        <v>10</v>
      </c>
      <c r="F110" s="22" t="s">
        <v>163</v>
      </c>
      <c r="G110" s="24" t="s">
        <v>405</v>
      </c>
      <c r="H110" s="24" t="s">
        <v>456</v>
      </c>
      <c r="I110" s="24"/>
    </row>
    <row r="111" customFormat="false" ht="27.75" hidden="false" customHeight="true" outlineLevel="0" collapsed="false">
      <c r="A111" s="18" t="n">
        <v>107</v>
      </c>
      <c r="B111" s="19" t="s">
        <v>457</v>
      </c>
      <c r="C111" s="18" t="s">
        <v>458</v>
      </c>
      <c r="D111" s="20" t="s">
        <v>62</v>
      </c>
      <c r="E111" s="25" t="s">
        <v>10</v>
      </c>
      <c r="F111" s="18" t="s">
        <v>334</v>
      </c>
      <c r="G111" s="20" t="s">
        <v>459</v>
      </c>
      <c r="H111" s="20" t="s">
        <v>460</v>
      </c>
      <c r="I111" s="20"/>
    </row>
    <row r="112" customFormat="false" ht="27.75" hidden="false" customHeight="true" outlineLevel="0" collapsed="false">
      <c r="A112" s="22" t="n">
        <v>108</v>
      </c>
      <c r="B112" s="23" t="s">
        <v>461</v>
      </c>
      <c r="C112" s="22" t="s">
        <v>462</v>
      </c>
      <c r="D112" s="24" t="s">
        <v>66</v>
      </c>
      <c r="E112" s="25" t="s">
        <v>10</v>
      </c>
      <c r="F112" s="22" t="s">
        <v>99</v>
      </c>
      <c r="G112" s="24" t="s">
        <v>463</v>
      </c>
      <c r="H112" s="24" t="s">
        <v>464</v>
      </c>
      <c r="I112" s="24"/>
    </row>
  </sheetData>
  <autoFilter ref="A4:I112"/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2026-10-08T09:46:47Z</dcterms:created>
  <dc:creator>openpyxl</dc:creator>
  <dc:description/>
  <dc:language>en-US</dc:language>
  <cp:lastModifiedBy/>
  <dcterms:modified xsi:type="dcterms:W3CDTF">2026-10-08T09:46:47Z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